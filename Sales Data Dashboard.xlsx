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F:\Balaji\Project\4 Dec 2025\"/>
    </mc:Choice>
  </mc:AlternateContent>
  <bookViews>
    <workbookView xWindow="0" yWindow="0" windowWidth="20490" windowHeight="7755"/>
  </bookViews>
  <sheets>
    <sheet name="Dashboard" sheetId="3" r:id="rId1"/>
    <sheet name="Sales" sheetId="1" r:id="rId2"/>
    <sheet name="Pivot Tables" sheetId="2" r:id="rId3"/>
  </sheets>
  <definedNames>
    <definedName name="Slicer_Item_Type">#N/A</definedName>
    <definedName name="Slicer_Region">#N/A</definedName>
    <definedName name="Slicer_Sales_Channel">#N/A</definedName>
  </definedNames>
  <calcPr calcId="152511"/>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12" i="1" l="1"/>
  <c r="P9" i="1"/>
  <c r="P6" i="1"/>
  <c r="P3" i="1"/>
</calcChain>
</file>

<file path=xl/sharedStrings.xml><?xml version="1.0" encoding="utf-8"?>
<sst xmlns="http://schemas.openxmlformats.org/spreadsheetml/2006/main" count="563" uniqueCount="122">
  <si>
    <t>Region</t>
  </si>
  <si>
    <t>Country</t>
  </si>
  <si>
    <t>Sales Channel</t>
  </si>
  <si>
    <t>Order Priority</t>
  </si>
  <si>
    <t>Order Date</t>
  </si>
  <si>
    <t>Order ID</t>
  </si>
  <si>
    <t>Ship Date</t>
  </si>
  <si>
    <t>Units Sold</t>
  </si>
  <si>
    <t>Unit Price</t>
  </si>
  <si>
    <t>Unit Cost</t>
  </si>
  <si>
    <t>Total Revenue</t>
  </si>
  <si>
    <t>Total Cost</t>
  </si>
  <si>
    <t>Total Profit</t>
  </si>
  <si>
    <t>Australia and Oceania</t>
  </si>
  <si>
    <t>Tuvalu</t>
  </si>
  <si>
    <t>Baby Food</t>
  </si>
  <si>
    <t>Offline</t>
  </si>
  <si>
    <t>H</t>
  </si>
  <si>
    <t>Central America and the Caribbean</t>
  </si>
  <si>
    <t>Grenada</t>
  </si>
  <si>
    <t>Cereal</t>
  </si>
  <si>
    <t>Online</t>
  </si>
  <si>
    <t>C</t>
  </si>
  <si>
    <t>Europe</t>
  </si>
  <si>
    <t>Russia</t>
  </si>
  <si>
    <t>Office Supplies</t>
  </si>
  <si>
    <t>L</t>
  </si>
  <si>
    <t>Sub-Saharan Africa</t>
  </si>
  <si>
    <t>Sao Tome and Principe</t>
  </si>
  <si>
    <t>Fruits</t>
  </si>
  <si>
    <t>Rwanda</t>
  </si>
  <si>
    <t>Solomon Islands</t>
  </si>
  <si>
    <t>Angola</t>
  </si>
  <si>
    <t>Household</t>
  </si>
  <si>
    <t>M</t>
  </si>
  <si>
    <t>Burkina Faso</t>
  </si>
  <si>
    <t>Vegetables</t>
  </si>
  <si>
    <t>Republic of the Congo</t>
  </si>
  <si>
    <t>Personal Care</t>
  </si>
  <si>
    <t>Senegal</t>
  </si>
  <si>
    <t>Asia</t>
  </si>
  <si>
    <t>Kyrgyzstan</t>
  </si>
  <si>
    <t>Cape Verde</t>
  </si>
  <si>
    <t>Clothes</t>
  </si>
  <si>
    <t>Bangladesh</t>
  </si>
  <si>
    <t>Honduras</t>
  </si>
  <si>
    <t>Mongolia</t>
  </si>
  <si>
    <t>Bulgaria</t>
  </si>
  <si>
    <t>Sri Lanka</t>
  </si>
  <si>
    <t>Cosmetics</t>
  </si>
  <si>
    <t>Cameroon</t>
  </si>
  <si>
    <t>Beverages</t>
  </si>
  <si>
    <t>Turkmenistan</t>
  </si>
  <si>
    <t>East Timor</t>
  </si>
  <si>
    <t>Meat</t>
  </si>
  <si>
    <t>Norway</t>
  </si>
  <si>
    <t>Portugal</t>
  </si>
  <si>
    <t>Snacks</t>
  </si>
  <si>
    <t>New Zealand</t>
  </si>
  <si>
    <t xml:space="preserve">Moldova </t>
  </si>
  <si>
    <t>France</t>
  </si>
  <si>
    <t>Kiribati</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</si>
  <si>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</si>
  <si>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</si>
  <si>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</si>
  <si>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</si>
  <si>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</si>
  <si>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</si>
  <si>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</si>
  <si>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</si>
  <si>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</si>
  <si>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</si>
  <si>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</si>
  <si>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</si>
  <si>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</si>
  <si>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</si>
  <si>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</si>
  <si>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</si>
  <si>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</si>
  <si>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</si>
  <si>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</si>
  <si>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</si>
  <si>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</si>
  <si>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</si>
  <si>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</si>
  <si>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</si>
  <si>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</si>
  <si>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</si>
  <si>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</si>
  <si>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</si>
  <si>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</si>
  <si>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</si>
  <si>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</si>
  <si>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</si>
  <si>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</si>
  <si>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</si>
  <si>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</si>
  <si>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</si>
  <si>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</si>
  <si>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</si>
  <si>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</si>
  <si>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</si>
  <si>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</si>
  <si>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</si>
  <si>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</si>
  <si>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</si>
  <si>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</si>
  <si>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</si>
  <si>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</si>
  <si>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</si>
  <si>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</si>
  <si>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</si>
  <si>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</si>
  <si>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</si>
  <si>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Grand Sales</t>
  </si>
  <si>
    <t>Unit Sold</t>
  </si>
  <si>
    <t>Average Sales</t>
  </si>
  <si>
    <t>Row Labels</t>
  </si>
  <si>
    <t>Grand Total</t>
  </si>
  <si>
    <t>Sum of Total Revenue</t>
  </si>
  <si>
    <t>Product</t>
  </si>
  <si>
    <t>Sum of 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</si>
</sst>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_);_(* \(#,##0.00\);_(* &quot;-&quot;??_);_(@_)"/>
    <numFmt numFmtId="164" formatCode="_(* #,##0_);_(* \(#,##0\);_(* &quot;-&quot;??_);_(@_)"/>
    <numFmt numFmtId="165" formatCode="##\,##,\ &quot;L&quot;"/>
    <numFmt numFmtId="166" formatCode="##&quot;.&quot;##,\ &quot;L&quot;"/>
    <numFmt numFmtId="167" formatCode="0##&quot;.&quot;##,\ &quot;L&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13">
    <xf numFmtId="0" fontId="0" fillId="0" borderId="0" xfId="0"/>
    <xf numFmtId="14" fontId="0" fillId="0" borderId="0" xfId="0" applyNumberFormat="1"/>
    <xf numFmtId="0" fontId="16" fillId="0" borderId="0" xfId="0" applyFont="1"/>
    <xf numFmtId="164" fontId="0" fillId="0" borderId="0" xfId="42" applyNumberFormat="1" applyFont="1"/>
    <xf numFmtId="0" fontId="16" fillId="0" borderId="0" xfId="0" applyFont="1" applyAlignment="1">
      <alignment horizontal="left"/>
    </xf>
    <xf numFmtId="164" fontId="16" fillId="0" borderId="0" xfId="42" applyNumberFormat="1" applyFont="1" applyAlignment="1">
      <alignment horizontal="left"/>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_(* #,##0_);_(* \(#,##0\);_(* &quot;-&quot;??_);_(@_)"/>
    </dxf>
    <dxf>
      <numFmt numFmtId="166" formatCode="##&quot;.&quot;##,\ &quot;L&quot;"/>
    </dxf>
    <dxf>
      <numFmt numFmtId="166" formatCode="##&quot;.&quot;##,\ &quot;L&quot;"/>
    </dxf>
    <dxf>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font>
        <b val="0"/>
        <i val="0"/>
        <strike val="0"/>
        <condense val="0"/>
        <extend val="0"/>
        <outline val="0"/>
        <shadow val="0"/>
        <u val="none"/>
        <vertAlign val="baseline"/>
        <sz val="11"/>
        <color theme="1"/>
        <name val="Calibri"/>
        <scheme val="minor"/>
      </font>
      <numFmt numFmtId="164" formatCode="_(* #,##0_);_(* \(#,##0\);_(* &quot;-&quot;??_);_(@_)"/>
    </dxf>
    <dxf>
      <numFmt numFmtId="19" formatCode="m/d/yyyy"/>
    </dxf>
    <dxf>
      <numFmt numFmtId="19" formatCode="m/d/yyyy"/>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Tables!PivotTable12</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181366383516158"/>
          <c:y val="4.8120293154888298E-2"/>
          <c:w val="0.77887123781970125"/>
          <c:h val="0.91177946254937148"/>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dLbl>
              <c:idx val="4"/>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Tables'!$D$4:$D$16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Tables'!$E$4:$E$16</c:f>
              <c:numCache>
                <c:formatCode>##"."##,\ "L"</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ser>
        <c:dLbls>
          <c:dLblPos val="outEnd"/>
          <c:showLegendKey val="0"/>
          <c:showVal val="1"/>
          <c:showCatName val="0"/>
          <c:showSerName val="0"/>
          <c:showPercent val="0"/>
          <c:showBubbleSize val="0"/>
        </c:dLbls>
        <c:gapWidth val="55"/>
        <c:axId val="298681464"/>
        <c:axId val="298682640"/>
      </c:barChart>
      <c:catAx>
        <c:axId val="2986814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98682640"/>
        <c:crosses val="autoZero"/>
        <c:auto val="1"/>
        <c:lblAlgn val="ctr"/>
        <c:lblOffset val="100"/>
        <c:noMultiLvlLbl val="0"/>
      </c:catAx>
      <c:valAx>
        <c:axId val="298682640"/>
        <c:scaling>
          <c:orientation val="minMax"/>
        </c:scaling>
        <c:delete val="1"/>
        <c:axPos val="b"/>
        <c:numFmt formatCode="##&quot;.&quot;##,\ &quot;L&quot;" sourceLinked="1"/>
        <c:majorTickMark val="out"/>
        <c:minorTickMark val="none"/>
        <c:tickLblPos val="nextTo"/>
        <c:crossAx val="29868146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w="19050">
            <a:solidFill>
              <a:schemeClr val="lt1"/>
            </a:solidFill>
          </a:ln>
          <a:effectLst/>
        </c:spPr>
        <c:dLbl>
          <c:idx val="0"/>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1378965201167208"/>
          <c:y val="8.8713910761154841E-2"/>
          <c:w val="0.37242069597665589"/>
          <c:h val="0.62162474482356367"/>
        </c:manualLayout>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Tables'!$J$4:$J$6</c:f>
              <c:strCache>
                <c:ptCount val="2"/>
                <c:pt idx="0">
                  <c:v>Offline</c:v>
                </c:pt>
                <c:pt idx="1">
                  <c:v>Online</c:v>
                </c:pt>
              </c:strCache>
            </c:strRef>
          </c:cat>
          <c:val>
            <c:numRef>
              <c:f>'Pivot Tables'!$K$4:$K$6</c:f>
              <c:numCache>
                <c:formatCode>##"."##,\ "L"</c:formatCode>
                <c:ptCount val="2"/>
                <c:pt idx="0">
                  <c:v>79094809.199999973</c:v>
                </c:pt>
                <c:pt idx="1">
                  <c:v>58253959.110000007</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Tables'!$H$4:$H$16</c:f>
              <c:numCache>
                <c:formatCode>0##"."##,\ "L"</c:formatCode>
                <c:ptCount val="12"/>
                <c:pt idx="0">
                  <c:v>40545</c:v>
                </c:pt>
                <c:pt idx="1">
                  <c:v>56708</c:v>
                </c:pt>
                <c:pt idx="2">
                  <c:v>25877</c:v>
                </c:pt>
                <c:pt idx="3">
                  <c:v>71260</c:v>
                </c:pt>
                <c:pt idx="4">
                  <c:v>83718</c:v>
                </c:pt>
                <c:pt idx="5">
                  <c:v>49998</c:v>
                </c:pt>
                <c:pt idx="6">
                  <c:v>44727</c:v>
                </c:pt>
                <c:pt idx="7">
                  <c:v>10675</c:v>
                </c:pt>
                <c:pt idx="8">
                  <c:v>46967</c:v>
                </c:pt>
                <c:pt idx="9">
                  <c:v>48708</c:v>
                </c:pt>
                <c:pt idx="10">
                  <c:v>13637</c:v>
                </c:pt>
                <c:pt idx="11">
                  <c:v>20051</c:v>
                </c:pt>
              </c:numCache>
            </c:numRef>
          </c:val>
        </c:ser>
        <c:dLbls>
          <c:dLblPos val="outEnd"/>
          <c:showLegendKey val="0"/>
          <c:showVal val="1"/>
          <c:showCatName val="0"/>
          <c:showSerName val="0"/>
          <c:showPercent val="0"/>
          <c:showBubbleSize val="0"/>
        </c:dLbls>
        <c:gapWidth val="70"/>
        <c:overlap val="-27"/>
        <c:axId val="350924032"/>
        <c:axId val="350922072"/>
      </c:barChart>
      <c:catAx>
        <c:axId val="35092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922072"/>
        <c:crosses val="autoZero"/>
        <c:auto val="1"/>
        <c:lblAlgn val="ctr"/>
        <c:lblOffset val="100"/>
        <c:noMultiLvlLbl val="0"/>
      </c:catAx>
      <c:valAx>
        <c:axId val="350922072"/>
        <c:scaling>
          <c:orientation val="minMax"/>
        </c:scaling>
        <c:delete val="1"/>
        <c:axPos val="l"/>
        <c:numFmt formatCode="0##&quot;.&quot;##,\ &quot;L&quot;" sourceLinked="1"/>
        <c:majorTickMark val="out"/>
        <c:minorTickMark val="none"/>
        <c:tickLblPos val="nextTo"/>
        <c:crossAx val="350924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Tables!PivotTable8</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437838127376936"/>
              <c:y val="-0.103896088156239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713439391504634"/>
              <c:y val="-0.1231361044814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550013391183235"/>
              <c:y val="0.119288101216423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21183710844997208"/>
              <c:y val="0.15849539156442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1351244681465507E-2"/>
              <c:y val="-0.1211896478056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8.011698537682789E-2"/>
              <c:y val="0.107744091421285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schemeClr>
          </a:solidFill>
          <a:ln w="19050">
            <a:solidFill>
              <a:schemeClr val="lt1"/>
            </a:solidFill>
          </a:ln>
          <a:effectLst/>
        </c:spPr>
        <c:dLbl>
          <c:idx val="0"/>
          <c:layout>
            <c:manualLayout>
              <c:x val="-9.2479297230703306E-2"/>
              <c:y val="-0.115440097951377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437838127376936"/>
              <c:y val="-0.103896088156239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0713439391504634"/>
              <c:y val="-0.1231361044814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550013391183235"/>
              <c:y val="0.119288101216423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1183710844997208"/>
              <c:y val="0.15849539156442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1351244681465507E-2"/>
              <c:y val="-0.1211896478056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8.011698537682789E-2"/>
              <c:y val="0.107744091421285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9.2479297230703306E-2"/>
              <c:y val="-0.115440097951377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6437843177585781"/>
              <c:y val="-0.161916703925655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dLbl>
          <c:idx val="0"/>
          <c:layout>
            <c:manualLayout>
              <c:x val="0.10713439391504634"/>
              <c:y val="-0.1231361044814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dLbl>
          <c:idx val="0"/>
          <c:layout>
            <c:manualLayout>
              <c:x val="0.11550021260523037"/>
              <c:y val="4.96633899060829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w="19050">
            <a:solidFill>
              <a:schemeClr val="lt1"/>
            </a:solidFill>
          </a:ln>
          <a:effectLst/>
        </c:spPr>
        <c:dLbl>
          <c:idx val="0"/>
          <c:layout>
            <c:manualLayout>
              <c:x val="0.20012308966591003"/>
              <c:y val="7.49639694407253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w="19050">
            <a:solidFill>
              <a:schemeClr val="lt1"/>
            </a:solidFill>
          </a:ln>
          <a:effectLst/>
        </c:spPr>
        <c:dLbl>
          <c:idx val="0"/>
          <c:layout>
            <c:manualLayout>
              <c:x val="-9.4279812464661869E-2"/>
              <c:y val="0.149572506399002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1"/>
          </a:solidFill>
          <a:ln w="19050">
            <a:solidFill>
              <a:schemeClr val="lt1"/>
            </a:solidFill>
          </a:ln>
          <a:effectLst/>
        </c:spPr>
        <c:dLbl>
          <c:idx val="0"/>
          <c:layout>
            <c:manualLayout>
              <c:x val="-8.011698537682789E-2"/>
              <c:y val="0.107744091421285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w="19050">
            <a:solidFill>
              <a:schemeClr val="lt1"/>
            </a:solidFill>
          </a:ln>
          <a:effectLst/>
        </c:spPr>
        <c:dLbl>
          <c:idx val="0"/>
          <c:layout>
            <c:manualLayout>
              <c:x val="-9.2479355155884374E-2"/>
              <c:y val="-7.67597105859793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4624136268680701E-2"/>
          <c:y val="0.28152991761940099"/>
          <c:w val="0.46641666666666665"/>
          <c:h val="0.77736111111111106"/>
        </c:manualLayout>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Lbl>
              <c:idx val="0"/>
              <c:layout>
                <c:manualLayout>
                  <c:x val="0.16437843177585781"/>
                  <c:y val="-0.16191670392565582"/>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0713439391504634"/>
                  <c:y val="-0.12313610448146951"/>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1550021260523037"/>
                  <c:y val="4.9663389906082982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0012308966591003"/>
                  <c:y val="7.4963969440725309E-2"/>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9.4279812464661869E-2"/>
                  <c:y val="0.14957250639900296"/>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8.011698537682789E-2"/>
                  <c:y val="0.10774409142128576"/>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9.2479355155884374E-2"/>
                  <c:y val="-7.6759710585979329E-2"/>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Tables'!$B$4:$B$11</c:f>
              <c:numCache>
                <c:formatCode>##"."##,\ "L"</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Tables!PivotTable8</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437838127376936"/>
              <c:y val="-0.1038960881562398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0.10713439391504634"/>
              <c:y val="-0.123136104481469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w="19050">
            <a:solidFill>
              <a:schemeClr val="lt1"/>
            </a:solidFill>
          </a:ln>
          <a:effectLst/>
        </c:spPr>
        <c:dLbl>
          <c:idx val="0"/>
          <c:layout>
            <c:manualLayout>
              <c:x val="0.11550013391183235"/>
              <c:y val="0.119288101216423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w="19050">
            <a:solidFill>
              <a:schemeClr val="lt1"/>
            </a:solidFill>
          </a:ln>
          <a:effectLst/>
        </c:spPr>
        <c:dLbl>
          <c:idx val="0"/>
          <c:layout>
            <c:manualLayout>
              <c:x val="0.21183710844997208"/>
              <c:y val="0.158495391564426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dLbl>
          <c:idx val="0"/>
          <c:layout>
            <c:manualLayout>
              <c:x val="-9.1351244681465507E-2"/>
              <c:y val="-0.1211896478056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solidFill>
          <a:ln w="19050">
            <a:solidFill>
              <a:schemeClr val="lt1"/>
            </a:solidFill>
          </a:ln>
          <a:effectLst/>
        </c:spPr>
        <c:dLbl>
          <c:idx val="0"/>
          <c:layout>
            <c:manualLayout>
              <c:x val="-8.011698537682789E-2"/>
              <c:y val="0.107744091421285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lumMod val="60000"/>
            </a:schemeClr>
          </a:solidFill>
          <a:ln w="19050">
            <a:solidFill>
              <a:schemeClr val="lt1"/>
            </a:solidFill>
          </a:ln>
          <a:effectLst/>
        </c:spPr>
        <c:dLbl>
          <c:idx val="0"/>
          <c:layout>
            <c:manualLayout>
              <c:x val="-9.2479297230703306E-2"/>
              <c:y val="-0.115440097951377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4624136268680701E-2"/>
          <c:y val="0.28152991761940099"/>
          <c:w val="0.46641666666666665"/>
          <c:h val="0.77736111111111106"/>
        </c:manualLayout>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Lbls>
            <c:dLbl>
              <c:idx val="0"/>
              <c:layout>
                <c:manualLayout>
                  <c:x val="0.16437838127376936"/>
                  <c:y val="-0.103896088156239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10713439391504634"/>
                  <c:y val="-0.12313610448146951"/>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1550013391183235"/>
                  <c:y val="0.1192881012164235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1183710844997208"/>
                  <c:y val="0.15849539156442641"/>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9.1351244681465507E-2"/>
                  <c:y val="-0.1211896478056522"/>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8.011698537682789E-2"/>
                  <c:y val="0.10774409142128576"/>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9.2479297230703306E-2"/>
                  <c:y val="-0.1154400979513776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'Pivot Tables'!$B$4:$B$11</c:f>
              <c:numCache>
                <c:formatCode>##"."##,\ "L"</c:formatCode>
                <c:ptCount val="7"/>
                <c:pt idx="0">
                  <c:v>21347091.020000003</c:v>
                </c:pt>
                <c:pt idx="1">
                  <c:v>14094265.130000003</c:v>
                </c:pt>
                <c:pt idx="2">
                  <c:v>9170385.4900000002</c:v>
                </c:pt>
                <c:pt idx="3">
                  <c:v>33368932.109999999</c:v>
                </c:pt>
                <c:pt idx="4">
                  <c:v>14052706.58</c:v>
                </c:pt>
                <c:pt idx="5">
                  <c:v>5643356.5500000007</c:v>
                </c:pt>
                <c:pt idx="6">
                  <c:v>39672031.430000007</c:v>
                </c:pt>
              </c:numCache>
            </c:numRef>
          </c:val>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r"/>
      <c:layout>
        <c:manualLayout>
          <c:xMode val="edge"/>
          <c:yMode val="edge"/>
          <c:x val="0.7028177242550564"/>
          <c:y val="4.899696048632219E-2"/>
          <c:w val="0.2846332561371005"/>
          <c:h val="0.75481926461319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Tables!PivotTable12</c:name>
    <c:fmtId val="7"/>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181366383516158"/>
          <c:y val="4.8120293154888298E-2"/>
          <c:w val="0.77887123781970125"/>
          <c:h val="0.91177946254937148"/>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Tables'!$D$4:$D$16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Tables'!$E$4:$E$16</c:f>
              <c:numCache>
                <c:formatCode>##"."##,\ "L"</c:formatCode>
                <c:ptCount val="12"/>
                <c:pt idx="0">
                  <c:v>10350327.6</c:v>
                </c:pt>
                <c:pt idx="1">
                  <c:v>2690794.6</c:v>
                </c:pt>
                <c:pt idx="2">
                  <c:v>5322898.9000000004</c:v>
                </c:pt>
                <c:pt idx="3">
                  <c:v>7787292.799999998</c:v>
                </c:pt>
                <c:pt idx="4">
                  <c:v>36601509.600000001</c:v>
                </c:pt>
                <c:pt idx="5">
                  <c:v>466481.34</c:v>
                </c:pt>
                <c:pt idx="6">
                  <c:v>29889712.289999995</c:v>
                </c:pt>
                <c:pt idx="7">
                  <c:v>4503675.75</c:v>
                </c:pt>
                <c:pt idx="8">
                  <c:v>30585380.07</c:v>
                </c:pt>
                <c:pt idx="9">
                  <c:v>3980904.8400000003</c:v>
                </c:pt>
                <c:pt idx="10">
                  <c:v>2080733.46</c:v>
                </c:pt>
                <c:pt idx="11">
                  <c:v>3089057.06</c:v>
                </c:pt>
              </c:numCache>
            </c:numRef>
          </c:val>
        </c:ser>
        <c:dLbls>
          <c:dLblPos val="outEnd"/>
          <c:showLegendKey val="0"/>
          <c:showVal val="1"/>
          <c:showCatName val="0"/>
          <c:showSerName val="0"/>
          <c:showPercent val="0"/>
          <c:showBubbleSize val="0"/>
        </c:dLbls>
        <c:gapWidth val="55"/>
        <c:axId val="270348680"/>
        <c:axId val="270347504"/>
      </c:barChart>
      <c:catAx>
        <c:axId val="2703486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270347504"/>
        <c:crosses val="autoZero"/>
        <c:auto val="1"/>
        <c:lblAlgn val="ctr"/>
        <c:lblOffset val="100"/>
        <c:noMultiLvlLbl val="0"/>
      </c:catAx>
      <c:valAx>
        <c:axId val="270347504"/>
        <c:scaling>
          <c:orientation val="minMax"/>
        </c:scaling>
        <c:delete val="1"/>
        <c:axPos val="b"/>
        <c:numFmt formatCode="##&quot;.&quot;##,\ &quot;L&quot;" sourceLinked="1"/>
        <c:majorTickMark val="out"/>
        <c:minorTickMark val="none"/>
        <c:tickLblPos val="nextTo"/>
        <c:crossAx val="2703486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Tables!PivotTable14</c:name>
    <c:fmtId val="7"/>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 Tables'!$H$4:$H$16</c:f>
              <c:numCache>
                <c:formatCode>0##"."##,\ "L"</c:formatCode>
                <c:ptCount val="12"/>
                <c:pt idx="0">
                  <c:v>40545</c:v>
                </c:pt>
                <c:pt idx="1">
                  <c:v>56708</c:v>
                </c:pt>
                <c:pt idx="2">
                  <c:v>25877</c:v>
                </c:pt>
                <c:pt idx="3">
                  <c:v>71260</c:v>
                </c:pt>
                <c:pt idx="4">
                  <c:v>83718</c:v>
                </c:pt>
                <c:pt idx="5">
                  <c:v>49998</c:v>
                </c:pt>
                <c:pt idx="6">
                  <c:v>44727</c:v>
                </c:pt>
                <c:pt idx="7">
                  <c:v>10675</c:v>
                </c:pt>
                <c:pt idx="8">
                  <c:v>46967</c:v>
                </c:pt>
                <c:pt idx="9">
                  <c:v>48708</c:v>
                </c:pt>
                <c:pt idx="10">
                  <c:v>13637</c:v>
                </c:pt>
                <c:pt idx="11">
                  <c:v>20051</c:v>
                </c:pt>
              </c:numCache>
            </c:numRef>
          </c:val>
        </c:ser>
        <c:dLbls>
          <c:dLblPos val="outEnd"/>
          <c:showLegendKey val="0"/>
          <c:showVal val="1"/>
          <c:showCatName val="0"/>
          <c:showSerName val="0"/>
          <c:showPercent val="0"/>
          <c:showBubbleSize val="0"/>
        </c:dLbls>
        <c:gapWidth val="70"/>
        <c:overlap val="-27"/>
        <c:axId val="270351032"/>
        <c:axId val="270352600"/>
      </c:barChart>
      <c:catAx>
        <c:axId val="270351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52600"/>
        <c:crosses val="autoZero"/>
        <c:auto val="1"/>
        <c:lblAlgn val="ctr"/>
        <c:lblOffset val="100"/>
        <c:noMultiLvlLbl val="0"/>
      </c:catAx>
      <c:valAx>
        <c:axId val="270352600"/>
        <c:scaling>
          <c:orientation val="minMax"/>
        </c:scaling>
        <c:delete val="1"/>
        <c:axPos val="l"/>
        <c:numFmt formatCode="0##&quot;.&quot;##,\ &quot;L&quot;" sourceLinked="1"/>
        <c:majorTickMark val="out"/>
        <c:minorTickMark val="none"/>
        <c:tickLblPos val="nextTo"/>
        <c:crossAx val="270351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(Autosaved).xlsx]Pivot Tables!PivotTable16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c:spPr>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1378965201167208"/>
          <c:y val="8.8713910761154841E-2"/>
          <c:w val="0.37242069597665589"/>
          <c:h val="0.62162474482356367"/>
        </c:manualLayout>
      </c:layout>
      <c:pieChart>
        <c:varyColors val="1"/>
        <c:ser>
          <c:idx val="0"/>
          <c:order val="0"/>
          <c:tx>
            <c:strRef>
              <c:f>'Pivot Tables'!$K$3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3.888888888888878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555555555555558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Tables'!$J$4:$J$6</c:f>
              <c:strCache>
                <c:ptCount val="2"/>
                <c:pt idx="0">
                  <c:v>Offline</c:v>
                </c:pt>
                <c:pt idx="1">
                  <c:v>Online</c:v>
                </c:pt>
              </c:strCache>
            </c:strRef>
          </c:cat>
          <c:val>
            <c:numRef>
              <c:f>'Pivot Tables'!$K$4:$K$6</c:f>
              <c:numCache>
                <c:formatCode>##"."##,\ "L"</c:formatCode>
                <c:ptCount val="2"/>
                <c:pt idx="0">
                  <c:v>79094809.199999973</c:v>
                </c:pt>
                <c:pt idx="1">
                  <c:v>58253959.110000007</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28575</xdr:rowOff>
    </xdr:from>
    <xdr:to>
      <xdr:col>19</xdr:col>
      <xdr:colOff>33618</xdr:colOff>
      <xdr:row>4</xdr:row>
      <xdr:rowOff>22412</xdr:rowOff>
    </xdr:to>
    <xdr:sp macro="" textlink="">
      <xdr:nvSpPr>
        <xdr:cNvPr id="3" name="Rounded Rectangle 2"/>
        <xdr:cNvSpPr/>
      </xdr:nvSpPr>
      <xdr:spPr>
        <a:xfrm>
          <a:off x="1" y="28575"/>
          <a:ext cx="11530852" cy="755837"/>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twoCellAnchor>
    <xdr:from>
      <xdr:col>0</xdr:col>
      <xdr:colOff>150160</xdr:colOff>
      <xdr:row>4</xdr:row>
      <xdr:rowOff>78441</xdr:rowOff>
    </xdr:from>
    <xdr:to>
      <xdr:col>4</xdr:col>
      <xdr:colOff>100852</xdr:colOff>
      <xdr:row>8</xdr:row>
      <xdr:rowOff>139629</xdr:rowOff>
    </xdr:to>
    <xdr:sp macro="" textlink="">
      <xdr:nvSpPr>
        <xdr:cNvPr id="4" name="Rounded Rectangle 3"/>
        <xdr:cNvSpPr/>
      </xdr:nvSpPr>
      <xdr:spPr>
        <a:xfrm>
          <a:off x="150160" y="840441"/>
          <a:ext cx="2371163" cy="823188"/>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0</xdr:col>
      <xdr:colOff>115922</xdr:colOff>
      <xdr:row>4</xdr:row>
      <xdr:rowOff>52937</xdr:rowOff>
    </xdr:from>
    <xdr:to>
      <xdr:col>3</xdr:col>
      <xdr:colOff>556201</xdr:colOff>
      <xdr:row>8</xdr:row>
      <xdr:rowOff>78442</xdr:rowOff>
    </xdr:to>
    <xdr:grpSp>
      <xdr:nvGrpSpPr>
        <xdr:cNvPr id="12" name="Group 11"/>
        <xdr:cNvGrpSpPr/>
      </xdr:nvGrpSpPr>
      <xdr:grpSpPr>
        <a:xfrm>
          <a:off x="115922" y="814937"/>
          <a:ext cx="2277243" cy="787505"/>
          <a:chOff x="48858" y="893378"/>
          <a:chExt cx="2272863" cy="787505"/>
        </a:xfrm>
      </xdr:grpSpPr>
      <xdr:sp macro="" textlink="">
        <xdr:nvSpPr>
          <xdr:cNvPr id="8" name="Rounded Rectangle 7"/>
          <xdr:cNvSpPr/>
        </xdr:nvSpPr>
        <xdr:spPr>
          <a:xfrm>
            <a:off x="48858" y="893378"/>
            <a:ext cx="628430" cy="787505"/>
          </a:xfrm>
          <a:prstGeom prst="roundRect">
            <a:avLst>
              <a:gd name="adj" fmla="val 16606"/>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0" name="TextBox 9"/>
          <xdr:cNvSpPr txBox="1"/>
        </xdr:nvSpPr>
        <xdr:spPr>
          <a:xfrm>
            <a:off x="902824" y="975686"/>
            <a:ext cx="1418897" cy="24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latin typeface="Arial" panose="020B0604020202020204" pitchFamily="34" charset="0"/>
                <a:cs typeface="Arial" panose="020B0604020202020204" pitchFamily="34" charset="0"/>
              </a:rPr>
              <a:t>TOTA</a:t>
            </a:r>
            <a:r>
              <a:rPr lang="en-US" sz="1200" b="1" baseline="0">
                <a:solidFill>
                  <a:schemeClr val="accent1">
                    <a:lumMod val="50000"/>
                  </a:schemeClr>
                </a:solidFill>
                <a:latin typeface="Arial" panose="020B0604020202020204" pitchFamily="34" charset="0"/>
                <a:cs typeface="Arial" panose="020B0604020202020204" pitchFamily="34" charset="0"/>
              </a:rPr>
              <a:t>L SALES</a:t>
            </a:r>
            <a:endParaRPr lang="en-US" sz="1200" b="1">
              <a:ln>
                <a:noFill/>
              </a:ln>
              <a:noFill/>
              <a:latin typeface="Arial" panose="020B0604020202020204" pitchFamily="34" charset="0"/>
              <a:cs typeface="Arial" panose="020B0604020202020204" pitchFamily="34" charset="0"/>
            </a:endParaRPr>
          </a:p>
        </xdr:txBody>
      </xdr:sp>
      <xdr:sp macro="" textlink="Sales!P3">
        <xdr:nvSpPr>
          <xdr:cNvPr id="11" name="TextBox 10"/>
          <xdr:cNvSpPr txBox="1"/>
        </xdr:nvSpPr>
        <xdr:spPr>
          <a:xfrm>
            <a:off x="821121" y="1252238"/>
            <a:ext cx="1498712" cy="31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591284-D524-41D8-BBD9-E6473D751D78}" type="TxLink">
              <a:rPr lang="en-US" sz="1600" b="1" i="0" u="none" strike="noStrike">
                <a:ln>
                  <a:noFill/>
                </a:ln>
                <a:solidFill>
                  <a:schemeClr val="accent1">
                    <a:lumMod val="50000"/>
                  </a:schemeClr>
                </a:solidFill>
                <a:latin typeface="Arial" panose="020B0604020202020204" pitchFamily="34" charset="0"/>
                <a:cs typeface="Arial" panose="020B0604020202020204" pitchFamily="34" charset="0"/>
              </a:rPr>
              <a:pPr/>
              <a:t> 137,348,768 </a:t>
            </a:fld>
            <a:endParaRPr lang="en-US" sz="1600" b="1">
              <a:ln>
                <a:noFill/>
              </a:ln>
              <a:solidFill>
                <a:schemeClr val="accent1">
                  <a:lumMod val="50000"/>
                </a:schemeClr>
              </a:solidFill>
              <a:latin typeface="Arial" panose="020B0604020202020204" pitchFamily="34" charset="0"/>
              <a:cs typeface="Arial" panose="020B0604020202020204" pitchFamily="34" charset="0"/>
            </a:endParaRPr>
          </a:p>
        </xdr:txBody>
      </xdr:sp>
    </xdr:grpSp>
    <xdr:clientData/>
  </xdr:twoCellAnchor>
  <xdr:twoCellAnchor>
    <xdr:from>
      <xdr:col>13</xdr:col>
      <xdr:colOff>425532</xdr:colOff>
      <xdr:row>4</xdr:row>
      <xdr:rowOff>157656</xdr:rowOff>
    </xdr:from>
    <xdr:to>
      <xdr:col>16</xdr:col>
      <xdr:colOff>18319</xdr:colOff>
      <xdr:row>6</xdr:row>
      <xdr:rowOff>19708</xdr:rowOff>
    </xdr:to>
    <xdr:sp macro="" textlink="">
      <xdr:nvSpPr>
        <xdr:cNvPr id="125" name="TextBox 124"/>
        <xdr:cNvSpPr txBox="1"/>
      </xdr:nvSpPr>
      <xdr:spPr>
        <a:xfrm>
          <a:off x="8292061" y="919656"/>
          <a:ext cx="1408140" cy="24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1">
            <a:ln>
              <a:noFill/>
            </a:ln>
            <a:noFill/>
            <a:latin typeface="Arial" panose="020B0604020202020204" pitchFamily="34" charset="0"/>
            <a:cs typeface="Arial" panose="020B0604020202020204" pitchFamily="34" charset="0"/>
          </a:endParaRPr>
        </a:p>
      </xdr:txBody>
    </xdr:sp>
    <xdr:clientData/>
  </xdr:twoCellAnchor>
  <xdr:twoCellAnchor>
    <xdr:from>
      <xdr:col>4</xdr:col>
      <xdr:colOff>336176</xdr:colOff>
      <xdr:row>4</xdr:row>
      <xdr:rowOff>56030</xdr:rowOff>
    </xdr:from>
    <xdr:to>
      <xdr:col>8</xdr:col>
      <xdr:colOff>515471</xdr:colOff>
      <xdr:row>8</xdr:row>
      <xdr:rowOff>145676</xdr:rowOff>
    </xdr:to>
    <xdr:sp macro="" textlink="">
      <xdr:nvSpPr>
        <xdr:cNvPr id="138" name="Rounded Rectangle 137"/>
        <xdr:cNvSpPr/>
      </xdr:nvSpPr>
      <xdr:spPr>
        <a:xfrm>
          <a:off x="2756647" y="818030"/>
          <a:ext cx="2599765" cy="851646"/>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138334</xdr:colOff>
      <xdr:row>4</xdr:row>
      <xdr:rowOff>108966</xdr:rowOff>
    </xdr:from>
    <xdr:to>
      <xdr:col>7</xdr:col>
      <xdr:colOff>576739</xdr:colOff>
      <xdr:row>8</xdr:row>
      <xdr:rowOff>134471</xdr:rowOff>
    </xdr:to>
    <xdr:grpSp>
      <xdr:nvGrpSpPr>
        <xdr:cNvPr id="139" name="Group 138"/>
        <xdr:cNvGrpSpPr/>
      </xdr:nvGrpSpPr>
      <xdr:grpSpPr>
        <a:xfrm>
          <a:off x="2587620" y="870966"/>
          <a:ext cx="2275369" cy="787505"/>
          <a:chOff x="48858" y="893378"/>
          <a:chExt cx="2270975" cy="787505"/>
        </a:xfrm>
      </xdr:grpSpPr>
      <xdr:sp macro="" textlink="">
        <xdr:nvSpPr>
          <xdr:cNvPr id="140" name="Rounded Rectangle 139"/>
          <xdr:cNvSpPr/>
        </xdr:nvSpPr>
        <xdr:spPr>
          <a:xfrm>
            <a:off x="48858" y="893378"/>
            <a:ext cx="628430" cy="787505"/>
          </a:xfrm>
          <a:prstGeom prst="roundRect">
            <a:avLst>
              <a:gd name="adj" fmla="val 16606"/>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41" name="TextBox 140"/>
          <xdr:cNvSpPr txBox="1"/>
        </xdr:nvSpPr>
        <xdr:spPr>
          <a:xfrm>
            <a:off x="801494" y="975686"/>
            <a:ext cx="1501768" cy="357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latin typeface="Arial" panose="020B0604020202020204" pitchFamily="34" charset="0"/>
                <a:cs typeface="Arial" panose="020B0604020202020204" pitchFamily="34" charset="0"/>
              </a:rPr>
              <a:t>AVERAGE</a:t>
            </a:r>
            <a:r>
              <a:rPr lang="en-US" sz="1200" b="1" baseline="0">
                <a:solidFill>
                  <a:schemeClr val="accent1">
                    <a:lumMod val="50000"/>
                  </a:schemeClr>
                </a:solidFill>
                <a:latin typeface="Arial" panose="020B0604020202020204" pitchFamily="34" charset="0"/>
                <a:cs typeface="Arial" panose="020B0604020202020204" pitchFamily="34" charset="0"/>
              </a:rPr>
              <a:t> SALES</a:t>
            </a:r>
            <a:endParaRPr lang="en-US" sz="1200" b="1">
              <a:ln>
                <a:noFill/>
              </a:ln>
              <a:noFill/>
              <a:latin typeface="Arial" panose="020B0604020202020204" pitchFamily="34" charset="0"/>
              <a:cs typeface="Arial" panose="020B0604020202020204" pitchFamily="34" charset="0"/>
            </a:endParaRPr>
          </a:p>
        </xdr:txBody>
      </xdr:sp>
      <xdr:sp macro="" textlink="Sales!P12">
        <xdr:nvSpPr>
          <xdr:cNvPr id="142" name="TextBox 141"/>
          <xdr:cNvSpPr txBox="1"/>
        </xdr:nvSpPr>
        <xdr:spPr>
          <a:xfrm>
            <a:off x="821121" y="1252238"/>
            <a:ext cx="1498712" cy="31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F5386E-7A60-4111-8A8D-A3E029A72B02}" type="TxLink">
              <a:rPr lang="en-US" sz="1600" b="1" i="0" u="none" strike="noStrike">
                <a:ln>
                  <a:noFill/>
                </a:ln>
                <a:solidFill>
                  <a:schemeClr val="accent1">
                    <a:lumMod val="50000"/>
                  </a:schemeClr>
                </a:solidFill>
                <a:latin typeface="Arial" panose="020B0604020202020204" pitchFamily="34" charset="0"/>
                <a:cs typeface="Arial" panose="020B0604020202020204" pitchFamily="34" charset="0"/>
              </a:rPr>
              <a:pPr/>
              <a:t> 1,373,488 </a:t>
            </a:fld>
            <a:endParaRPr lang="en-US" sz="1600" b="1">
              <a:ln>
                <a:noFill/>
              </a:ln>
              <a:solidFill>
                <a:schemeClr val="accent1">
                  <a:lumMod val="50000"/>
                </a:schemeClr>
              </a:solidFill>
              <a:latin typeface="Arial" panose="020B0604020202020204" pitchFamily="34" charset="0"/>
              <a:cs typeface="Arial" panose="020B0604020202020204" pitchFamily="34" charset="0"/>
            </a:endParaRPr>
          </a:p>
        </xdr:txBody>
      </xdr:sp>
    </xdr:grpSp>
    <xdr:clientData/>
  </xdr:twoCellAnchor>
  <xdr:twoCellAnchor>
    <xdr:from>
      <xdr:col>8</xdr:col>
      <xdr:colOff>481853</xdr:colOff>
      <xdr:row>4</xdr:row>
      <xdr:rowOff>89647</xdr:rowOff>
    </xdr:from>
    <xdr:to>
      <xdr:col>13</xdr:col>
      <xdr:colOff>212911</xdr:colOff>
      <xdr:row>8</xdr:row>
      <xdr:rowOff>112059</xdr:rowOff>
    </xdr:to>
    <xdr:sp macro="" textlink="">
      <xdr:nvSpPr>
        <xdr:cNvPr id="151" name="Rounded Rectangle 150"/>
        <xdr:cNvSpPr/>
      </xdr:nvSpPr>
      <xdr:spPr>
        <a:xfrm>
          <a:off x="5322794" y="851647"/>
          <a:ext cx="2756646" cy="784412"/>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586569</xdr:colOff>
      <xdr:row>4</xdr:row>
      <xdr:rowOff>86554</xdr:rowOff>
    </xdr:from>
    <xdr:to>
      <xdr:col>12</xdr:col>
      <xdr:colOff>571501</xdr:colOff>
      <xdr:row>8</xdr:row>
      <xdr:rowOff>112059</xdr:rowOff>
    </xdr:to>
    <xdr:grpSp>
      <xdr:nvGrpSpPr>
        <xdr:cNvPr id="152" name="Group 151"/>
        <xdr:cNvGrpSpPr/>
      </xdr:nvGrpSpPr>
      <xdr:grpSpPr>
        <a:xfrm>
          <a:off x="5485140" y="848554"/>
          <a:ext cx="2434218" cy="787505"/>
          <a:chOff x="48858" y="893378"/>
          <a:chExt cx="2423777" cy="787505"/>
        </a:xfrm>
      </xdr:grpSpPr>
      <xdr:sp macro="" textlink="">
        <xdr:nvSpPr>
          <xdr:cNvPr id="153" name="Rounded Rectangle 152"/>
          <xdr:cNvSpPr/>
        </xdr:nvSpPr>
        <xdr:spPr>
          <a:xfrm>
            <a:off x="48858" y="893378"/>
            <a:ext cx="628430" cy="787505"/>
          </a:xfrm>
          <a:prstGeom prst="roundRect">
            <a:avLst>
              <a:gd name="adj" fmla="val 16606"/>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54" name="TextBox 153"/>
          <xdr:cNvSpPr txBox="1"/>
        </xdr:nvSpPr>
        <xdr:spPr>
          <a:xfrm>
            <a:off x="902824" y="975686"/>
            <a:ext cx="1418897" cy="24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latin typeface="Arial" panose="020B0604020202020204" pitchFamily="34" charset="0"/>
                <a:cs typeface="Arial" panose="020B0604020202020204" pitchFamily="34" charset="0"/>
              </a:rPr>
              <a:t>UNIT SOLD</a:t>
            </a:r>
            <a:endParaRPr lang="en-US" sz="1200" b="1">
              <a:ln>
                <a:noFill/>
              </a:ln>
              <a:noFill/>
              <a:latin typeface="Arial" panose="020B0604020202020204" pitchFamily="34" charset="0"/>
              <a:cs typeface="Arial" panose="020B0604020202020204" pitchFamily="34" charset="0"/>
            </a:endParaRPr>
          </a:p>
        </xdr:txBody>
      </xdr:sp>
      <xdr:sp macro="" textlink="Sales!P6">
        <xdr:nvSpPr>
          <xdr:cNvPr id="155" name="TextBox 154"/>
          <xdr:cNvSpPr txBox="1"/>
        </xdr:nvSpPr>
        <xdr:spPr>
          <a:xfrm>
            <a:off x="854995" y="1241032"/>
            <a:ext cx="1617640" cy="271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9E0D12-28E1-4AA4-AAE2-A3F51786DC22}" type="TxLink">
              <a:rPr lang="en-US" sz="1600" b="1" i="0" u="none" strike="noStrike">
                <a:ln>
                  <a:noFill/>
                </a:ln>
                <a:solidFill>
                  <a:schemeClr val="accent1">
                    <a:lumMod val="50000"/>
                  </a:schemeClr>
                </a:solidFill>
                <a:latin typeface="Arial" panose="020B0604020202020204" pitchFamily="34" charset="0"/>
                <a:cs typeface="Arial" panose="020B0604020202020204" pitchFamily="34" charset="0"/>
              </a:rPr>
              <a:pPr/>
              <a:t> 512,871 </a:t>
            </a:fld>
            <a:endParaRPr lang="en-US" sz="1600" b="1">
              <a:ln>
                <a:noFill/>
              </a:ln>
              <a:solidFill>
                <a:schemeClr val="accent1">
                  <a:lumMod val="50000"/>
                </a:schemeClr>
              </a:solidFill>
              <a:latin typeface="Arial" panose="020B0604020202020204" pitchFamily="34" charset="0"/>
              <a:cs typeface="Arial" panose="020B0604020202020204" pitchFamily="34" charset="0"/>
            </a:endParaRPr>
          </a:p>
        </xdr:txBody>
      </xdr:sp>
    </xdr:grpSp>
    <xdr:clientData/>
  </xdr:twoCellAnchor>
  <xdr:twoCellAnchor>
    <xdr:from>
      <xdr:col>13</xdr:col>
      <xdr:colOff>340660</xdr:colOff>
      <xdr:row>4</xdr:row>
      <xdr:rowOff>44824</xdr:rowOff>
    </xdr:from>
    <xdr:to>
      <xdr:col>18</xdr:col>
      <xdr:colOff>571499</xdr:colOff>
      <xdr:row>8</xdr:row>
      <xdr:rowOff>134471</xdr:rowOff>
    </xdr:to>
    <xdr:sp macro="" textlink="">
      <xdr:nvSpPr>
        <xdr:cNvPr id="160" name="Rounded Rectangle 159"/>
        <xdr:cNvSpPr/>
      </xdr:nvSpPr>
      <xdr:spPr>
        <a:xfrm>
          <a:off x="8207189" y="806824"/>
          <a:ext cx="3256428" cy="851647"/>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13</xdr:col>
      <xdr:colOff>369795</xdr:colOff>
      <xdr:row>4</xdr:row>
      <xdr:rowOff>44824</xdr:rowOff>
    </xdr:from>
    <xdr:to>
      <xdr:col>17</xdr:col>
      <xdr:colOff>276054</xdr:colOff>
      <xdr:row>8</xdr:row>
      <xdr:rowOff>134471</xdr:rowOff>
    </xdr:to>
    <xdr:grpSp>
      <xdr:nvGrpSpPr>
        <xdr:cNvPr id="161" name="Group 160"/>
        <xdr:cNvGrpSpPr/>
      </xdr:nvGrpSpPr>
      <xdr:grpSpPr>
        <a:xfrm>
          <a:off x="8329974" y="806824"/>
          <a:ext cx="2355544" cy="851647"/>
          <a:chOff x="-22783" y="829236"/>
          <a:chExt cx="2344504" cy="851647"/>
        </a:xfrm>
      </xdr:grpSpPr>
      <xdr:sp macro="" textlink="">
        <xdr:nvSpPr>
          <xdr:cNvPr id="162" name="Rounded Rectangle 161"/>
          <xdr:cNvSpPr/>
        </xdr:nvSpPr>
        <xdr:spPr>
          <a:xfrm>
            <a:off x="-22783" y="829236"/>
            <a:ext cx="700071" cy="851647"/>
          </a:xfrm>
          <a:prstGeom prst="roundRect">
            <a:avLst>
              <a:gd name="adj" fmla="val 16606"/>
            </a:avLst>
          </a:prstGeom>
          <a:solidFill>
            <a:schemeClr val="accent1">
              <a:lumMod val="5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63" name="TextBox 162"/>
          <xdr:cNvSpPr txBox="1"/>
        </xdr:nvSpPr>
        <xdr:spPr>
          <a:xfrm>
            <a:off x="902824" y="975686"/>
            <a:ext cx="1418897" cy="243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50000"/>
                  </a:schemeClr>
                </a:solidFill>
                <a:latin typeface="Arial" panose="020B0604020202020204" pitchFamily="34" charset="0"/>
                <a:cs typeface="Arial" panose="020B0604020202020204" pitchFamily="34" charset="0"/>
              </a:rPr>
              <a:t>PROFIT</a:t>
            </a:r>
            <a:endParaRPr lang="en-US" sz="1200" b="1">
              <a:ln>
                <a:noFill/>
              </a:ln>
              <a:noFill/>
              <a:latin typeface="Arial" panose="020B0604020202020204" pitchFamily="34" charset="0"/>
              <a:cs typeface="Arial" panose="020B0604020202020204" pitchFamily="34" charset="0"/>
            </a:endParaRPr>
          </a:p>
        </xdr:txBody>
      </xdr:sp>
      <xdr:sp macro="" textlink="Sales!P9">
        <xdr:nvSpPr>
          <xdr:cNvPr id="164" name="TextBox 163"/>
          <xdr:cNvSpPr txBox="1"/>
        </xdr:nvSpPr>
        <xdr:spPr>
          <a:xfrm>
            <a:off x="821121" y="1252238"/>
            <a:ext cx="1498712" cy="314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7E66CB-5D98-4403-881E-745F89D2763D}" type="TxLink">
              <a:rPr lang="en-US" sz="1500" b="1" i="0" u="none" strike="noStrike">
                <a:ln>
                  <a:noFill/>
                </a:ln>
                <a:solidFill>
                  <a:schemeClr val="accent1">
                    <a:lumMod val="50000"/>
                  </a:schemeClr>
                </a:solidFill>
                <a:latin typeface="Arial" panose="020B0604020202020204" pitchFamily="34" charset="0"/>
                <a:cs typeface="Arial" panose="020B0604020202020204" pitchFamily="34" charset="0"/>
              </a:rPr>
              <a:pPr/>
              <a:t> 44,168,198 </a:t>
            </a:fld>
            <a:endParaRPr lang="en-US" sz="1500" b="1">
              <a:ln>
                <a:noFill/>
              </a:ln>
              <a:solidFill>
                <a:schemeClr val="accent1">
                  <a:lumMod val="50000"/>
                </a:schemeClr>
              </a:solidFill>
              <a:latin typeface="Arial" panose="020B0604020202020204" pitchFamily="34" charset="0"/>
              <a:cs typeface="Arial" panose="020B0604020202020204" pitchFamily="34" charset="0"/>
            </a:endParaRPr>
          </a:p>
        </xdr:txBody>
      </xdr:sp>
    </xdr:grpSp>
    <xdr:clientData/>
  </xdr:twoCellAnchor>
  <xdr:twoCellAnchor editAs="oneCell">
    <xdr:from>
      <xdr:col>8</xdr:col>
      <xdr:colOff>571500</xdr:colOff>
      <xdr:row>18</xdr:row>
      <xdr:rowOff>168088</xdr:rowOff>
    </xdr:from>
    <xdr:to>
      <xdr:col>12</xdr:col>
      <xdr:colOff>528357</xdr:colOff>
      <xdr:row>28</xdr:row>
      <xdr:rowOff>177613</xdr:rowOff>
    </xdr:to>
    <xdr:sp macro="" textlink="">
      <xdr:nvSpPr>
        <xdr:cNvPr id="3073" name="dimg_uFgxacWwEeyS4-EPgp6igQs_205" descr="107,029 Money Icon High Res ..."/>
        <xdr:cNvSpPr>
          <a:spLocks noChangeAspect="1" noChangeArrowheads="1"/>
        </xdr:cNvSpPr>
      </xdr:nvSpPr>
      <xdr:spPr bwMode="auto">
        <a:xfrm>
          <a:off x="5412441" y="3597088"/>
          <a:ext cx="2377328" cy="19145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0</xdr:colOff>
      <xdr:row>18</xdr:row>
      <xdr:rowOff>0</xdr:rowOff>
    </xdr:from>
    <xdr:to>
      <xdr:col>8</xdr:col>
      <xdr:colOff>578842</xdr:colOff>
      <xdr:row>22</xdr:row>
      <xdr:rowOff>36709</xdr:rowOff>
    </xdr:to>
    <xdr:sp macro="" textlink="">
      <xdr:nvSpPr>
        <xdr:cNvPr id="167" name="Rounded Rectangle 166"/>
        <xdr:cNvSpPr/>
      </xdr:nvSpPr>
      <xdr:spPr>
        <a:xfrm>
          <a:off x="4840941" y="3429000"/>
          <a:ext cx="578842" cy="798709"/>
        </a:xfrm>
        <a:prstGeom prst="roundRect">
          <a:avLst>
            <a:gd name="adj" fmla="val 16606"/>
          </a:avLst>
        </a:prstGeom>
        <a:no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n>
                <a:noFill/>
              </a:ln>
              <a:noFill/>
            </a:rPr>
            <a:t> </a:t>
          </a:r>
        </a:p>
      </xdr:txBody>
    </xdr:sp>
    <xdr:clientData/>
  </xdr:twoCellAnchor>
  <xdr:oneCellAnchor>
    <xdr:from>
      <xdr:col>4</xdr:col>
      <xdr:colOff>526675</xdr:colOff>
      <xdr:row>0</xdr:row>
      <xdr:rowOff>134471</xdr:rowOff>
    </xdr:from>
    <xdr:ext cx="5771029" cy="620223"/>
    <xdr:sp macro="" textlink="">
      <xdr:nvSpPr>
        <xdr:cNvPr id="169" name="TextBox 168"/>
        <xdr:cNvSpPr txBox="1"/>
      </xdr:nvSpPr>
      <xdr:spPr>
        <a:xfrm>
          <a:off x="2947146" y="134471"/>
          <a:ext cx="5771029" cy="6202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3200" b="1">
              <a:solidFill>
                <a:schemeClr val="accent1">
                  <a:lumMod val="50000"/>
                </a:schemeClr>
              </a:solidFill>
              <a:latin typeface="Arial" panose="020B0604020202020204" pitchFamily="34" charset="0"/>
              <a:cs typeface="Arial" panose="020B0604020202020204" pitchFamily="34" charset="0"/>
            </a:rPr>
            <a:t>SALES </a:t>
          </a:r>
          <a:r>
            <a:rPr lang="en-US" sz="3200" b="1">
              <a:ln>
                <a:noFill/>
              </a:ln>
              <a:solidFill>
                <a:schemeClr val="accent1">
                  <a:lumMod val="50000"/>
                </a:schemeClr>
              </a:solidFill>
              <a:latin typeface="Arial" panose="020B0604020202020204" pitchFamily="34" charset="0"/>
              <a:cs typeface="Arial" panose="020B0604020202020204" pitchFamily="34" charset="0"/>
            </a:rPr>
            <a:t>DASHBOARD</a:t>
          </a:r>
        </a:p>
      </xdr:txBody>
    </xdr:sp>
    <xdr:clientData/>
  </xdr:oneCellAnchor>
  <xdr:twoCellAnchor editAs="oneCell">
    <xdr:from>
      <xdr:col>0</xdr:col>
      <xdr:colOff>0</xdr:colOff>
      <xdr:row>9</xdr:row>
      <xdr:rowOff>1</xdr:rowOff>
    </xdr:from>
    <xdr:to>
      <xdr:col>18</xdr:col>
      <xdr:colOff>324970</xdr:colOff>
      <xdr:row>14</xdr:row>
      <xdr:rowOff>11207</xdr:rowOff>
    </xdr:to>
    <mc:AlternateContent xmlns:mc="http://schemas.openxmlformats.org/markup-compatibility/2006" xmlns:a14="http://schemas.microsoft.com/office/drawing/2010/main">
      <mc:Choice Requires="a14">
        <xdr:graphicFrame macro="">
          <xdr:nvGraphicFramePr>
            <xdr:cNvPr id="17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714501"/>
              <a:ext cx="9798424" cy="963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38099</xdr:rowOff>
    </xdr:from>
    <xdr:to>
      <xdr:col>2</xdr:col>
      <xdr:colOff>403412</xdr:colOff>
      <xdr:row>34</xdr:row>
      <xdr:rowOff>123264</xdr:rowOff>
    </xdr:to>
    <mc:AlternateContent xmlns:mc="http://schemas.openxmlformats.org/markup-compatibility/2006" xmlns:a14="http://schemas.microsoft.com/office/drawing/2010/main">
      <mc:Choice Requires="a14">
        <xdr:graphicFrame macro="">
          <xdr:nvGraphicFramePr>
            <xdr:cNvPr id="172"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0" y="2705100"/>
              <a:ext cx="1695450" cy="3419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56029</xdr:rowOff>
    </xdr:from>
    <xdr:to>
      <xdr:col>2</xdr:col>
      <xdr:colOff>425824</xdr:colOff>
      <xdr:row>39</xdr:row>
      <xdr:rowOff>56029</xdr:rowOff>
    </xdr:to>
    <mc:AlternateContent xmlns:mc="http://schemas.openxmlformats.org/markup-compatibility/2006">
      <mc:Choice xmlns:a14="http://schemas.microsoft.com/office/drawing/2010/main" Requires="a14">
        <xdr:graphicFrame macro="">
          <xdr:nvGraphicFramePr>
            <xdr:cNvPr id="174" name="Sales Channel 1"/>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0" y="6723529"/>
              <a:ext cx="1650467"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514352</xdr:colOff>
      <xdr:row>14</xdr:row>
      <xdr:rowOff>19049</xdr:rowOff>
    </xdr:from>
    <xdr:to>
      <xdr:col>11</xdr:col>
      <xdr:colOff>190500</xdr:colOff>
      <xdr:row>35</xdr:row>
      <xdr:rowOff>180974</xdr:rowOff>
    </xdr:to>
    <xdr:sp macro="" textlink="">
      <xdr:nvSpPr>
        <xdr:cNvPr id="176" name="Rounded Rectangle 175"/>
        <xdr:cNvSpPr/>
      </xdr:nvSpPr>
      <xdr:spPr>
        <a:xfrm>
          <a:off x="1733552" y="2686049"/>
          <a:ext cx="5162548" cy="4162425"/>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oneCellAnchor>
    <xdr:from>
      <xdr:col>3</xdr:col>
      <xdr:colOff>161925</xdr:colOff>
      <xdr:row>15</xdr:row>
      <xdr:rowOff>28575</xdr:rowOff>
    </xdr:from>
    <xdr:ext cx="1603644" cy="210250"/>
    <xdr:sp macro="" textlink="">
      <xdr:nvSpPr>
        <xdr:cNvPr id="2" name="TextBox 1"/>
        <xdr:cNvSpPr txBox="1"/>
      </xdr:nvSpPr>
      <xdr:spPr>
        <a:xfrm>
          <a:off x="1990725" y="2886075"/>
          <a:ext cx="1603644"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chemeClr val="accent1">
                  <a:lumMod val="50000"/>
                </a:schemeClr>
              </a:solidFill>
              <a:latin typeface="Arial" panose="020B0604020202020204" pitchFamily="34" charset="0"/>
              <a:cs typeface="Arial" panose="020B0604020202020204" pitchFamily="34" charset="0"/>
            </a:rPr>
            <a:t>TOTAL</a:t>
          </a:r>
          <a:r>
            <a:rPr lang="en-US" sz="800" b="1" baseline="0">
              <a:solidFill>
                <a:schemeClr val="accent1">
                  <a:lumMod val="50000"/>
                </a:schemeClr>
              </a:solidFill>
              <a:latin typeface="Arial" panose="020B0604020202020204" pitchFamily="34" charset="0"/>
              <a:cs typeface="Arial" panose="020B0604020202020204" pitchFamily="34" charset="0"/>
            </a:rPr>
            <a:t> SALES BY PRODUCT</a:t>
          </a:r>
          <a:endParaRPr lang="en-US" sz="800" b="1">
            <a:solidFill>
              <a:schemeClr val="accent1">
                <a:lumMod val="50000"/>
              </a:schemeClr>
            </a:solidFill>
            <a:latin typeface="Arial" panose="020B0604020202020204" pitchFamily="34" charset="0"/>
            <a:cs typeface="Arial" panose="020B0604020202020204" pitchFamily="34" charset="0"/>
          </a:endParaRPr>
        </a:p>
      </xdr:txBody>
    </xdr:sp>
    <xdr:clientData/>
  </xdr:oneCellAnchor>
  <xdr:twoCellAnchor>
    <xdr:from>
      <xdr:col>3</xdr:col>
      <xdr:colOff>38102</xdr:colOff>
      <xdr:row>16</xdr:row>
      <xdr:rowOff>85725</xdr:rowOff>
    </xdr:from>
    <xdr:to>
      <xdr:col>10</xdr:col>
      <xdr:colOff>523875</xdr:colOff>
      <xdr:row>35</xdr:row>
      <xdr:rowOff>123825</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233082</xdr:colOff>
      <xdr:row>14</xdr:row>
      <xdr:rowOff>64914</xdr:rowOff>
    </xdr:from>
    <xdr:to>
      <xdr:col>16</xdr:col>
      <xdr:colOff>495701</xdr:colOff>
      <xdr:row>34</xdr:row>
      <xdr:rowOff>160165</xdr:rowOff>
    </xdr:to>
    <xdr:sp macro="" textlink="">
      <xdr:nvSpPr>
        <xdr:cNvPr id="33" name="Rounded Rectangle 32"/>
        <xdr:cNvSpPr/>
      </xdr:nvSpPr>
      <xdr:spPr>
        <a:xfrm>
          <a:off x="6889376" y="2731914"/>
          <a:ext cx="3288207" cy="3905251"/>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oneCellAnchor>
    <xdr:from>
      <xdr:col>11</xdr:col>
      <xdr:colOff>533400</xdr:colOff>
      <xdr:row>16</xdr:row>
      <xdr:rowOff>85725</xdr:rowOff>
    </xdr:from>
    <xdr:ext cx="1227516" cy="210250"/>
    <xdr:sp macro="" textlink="">
      <xdr:nvSpPr>
        <xdr:cNvPr id="5" name="TextBox 4"/>
        <xdr:cNvSpPr txBox="1"/>
      </xdr:nvSpPr>
      <xdr:spPr>
        <a:xfrm>
          <a:off x="7239000" y="3133725"/>
          <a:ext cx="1227516"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chemeClr val="accent1">
                  <a:lumMod val="50000"/>
                </a:schemeClr>
              </a:solidFill>
              <a:latin typeface="Arial" panose="020B0604020202020204" pitchFamily="34" charset="0"/>
              <a:cs typeface="Arial" panose="020B0604020202020204" pitchFamily="34" charset="0"/>
            </a:rPr>
            <a:t>SALES</a:t>
          </a:r>
          <a:r>
            <a:rPr lang="en-US" sz="800" b="1" baseline="0">
              <a:solidFill>
                <a:schemeClr val="accent1">
                  <a:lumMod val="50000"/>
                </a:schemeClr>
              </a:solidFill>
              <a:latin typeface="Arial" panose="020B0604020202020204" pitchFamily="34" charset="0"/>
              <a:cs typeface="Arial" panose="020B0604020202020204" pitchFamily="34" charset="0"/>
            </a:rPr>
            <a:t> BY CHANNEL</a:t>
          </a:r>
          <a:endParaRPr lang="en-US" sz="800" b="1">
            <a:solidFill>
              <a:schemeClr val="accent1">
                <a:lumMod val="50000"/>
              </a:schemeClr>
            </a:solidFill>
            <a:latin typeface="Arial" panose="020B0604020202020204" pitchFamily="34" charset="0"/>
            <a:cs typeface="Arial" panose="020B0604020202020204" pitchFamily="34" charset="0"/>
          </a:endParaRPr>
        </a:p>
      </xdr:txBody>
    </xdr:sp>
    <xdr:clientData/>
  </xdr:oneCellAnchor>
  <xdr:twoCellAnchor>
    <xdr:from>
      <xdr:col>11</xdr:col>
      <xdr:colOff>340178</xdr:colOff>
      <xdr:row>17</xdr:row>
      <xdr:rowOff>112059</xdr:rowOff>
    </xdr:from>
    <xdr:to>
      <xdr:col>16</xdr:col>
      <xdr:colOff>459442</xdr:colOff>
      <xdr:row>32</xdr:row>
      <xdr:rowOff>123825</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514352</xdr:colOff>
      <xdr:row>36</xdr:row>
      <xdr:rowOff>52666</xdr:rowOff>
    </xdr:from>
    <xdr:to>
      <xdr:col>11</xdr:col>
      <xdr:colOff>190500</xdr:colOff>
      <xdr:row>58</xdr:row>
      <xdr:rowOff>24091</xdr:rowOff>
    </xdr:to>
    <xdr:sp macro="" textlink="">
      <xdr:nvSpPr>
        <xdr:cNvPr id="36" name="Rounded Rectangle 35"/>
        <xdr:cNvSpPr/>
      </xdr:nvSpPr>
      <xdr:spPr>
        <a:xfrm>
          <a:off x="1724587" y="6910666"/>
          <a:ext cx="5122207" cy="4162425"/>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oneCellAnchor>
    <xdr:from>
      <xdr:col>3</xdr:col>
      <xdr:colOff>291353</xdr:colOff>
      <xdr:row>37</xdr:row>
      <xdr:rowOff>0</xdr:rowOff>
    </xdr:from>
    <xdr:ext cx="1490382" cy="210250"/>
    <xdr:sp macro="" textlink="">
      <xdr:nvSpPr>
        <xdr:cNvPr id="6" name="TextBox 5"/>
        <xdr:cNvSpPr txBox="1"/>
      </xdr:nvSpPr>
      <xdr:spPr>
        <a:xfrm>
          <a:off x="2106706" y="7048500"/>
          <a:ext cx="1490382"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800" b="1">
              <a:solidFill>
                <a:schemeClr val="accent1">
                  <a:lumMod val="50000"/>
                </a:schemeClr>
              </a:solidFill>
              <a:latin typeface="Arial" panose="020B0604020202020204" pitchFamily="34" charset="0"/>
              <a:cs typeface="Arial" panose="020B0604020202020204" pitchFamily="34" charset="0"/>
            </a:rPr>
            <a:t>PRODUCT</a:t>
          </a:r>
          <a:r>
            <a:rPr lang="en-US" sz="800" b="1" baseline="0">
              <a:solidFill>
                <a:schemeClr val="accent1">
                  <a:lumMod val="50000"/>
                </a:schemeClr>
              </a:solidFill>
              <a:latin typeface="Arial" panose="020B0604020202020204" pitchFamily="34" charset="0"/>
              <a:cs typeface="Arial" panose="020B0604020202020204" pitchFamily="34" charset="0"/>
            </a:rPr>
            <a:t> BY UNIT SOLD</a:t>
          </a:r>
          <a:endParaRPr lang="en-US" sz="800" b="1">
            <a:solidFill>
              <a:schemeClr val="accent1">
                <a:lumMod val="50000"/>
              </a:schemeClr>
            </a:solidFill>
            <a:latin typeface="Arial" panose="020B0604020202020204" pitchFamily="34" charset="0"/>
            <a:cs typeface="Arial" panose="020B0604020202020204" pitchFamily="34" charset="0"/>
          </a:endParaRPr>
        </a:p>
      </xdr:txBody>
    </xdr:sp>
    <xdr:clientData/>
  </xdr:oneCellAnchor>
  <xdr:twoCellAnchor>
    <xdr:from>
      <xdr:col>3</xdr:col>
      <xdr:colOff>179293</xdr:colOff>
      <xdr:row>39</xdr:row>
      <xdr:rowOff>112059</xdr:rowOff>
    </xdr:from>
    <xdr:to>
      <xdr:col>11</xdr:col>
      <xdr:colOff>11205</xdr:colOff>
      <xdr:row>57</xdr:row>
      <xdr:rowOff>100853</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224118</xdr:colOff>
      <xdr:row>36</xdr:row>
      <xdr:rowOff>52666</xdr:rowOff>
    </xdr:from>
    <xdr:to>
      <xdr:col>18</xdr:col>
      <xdr:colOff>537882</xdr:colOff>
      <xdr:row>58</xdr:row>
      <xdr:rowOff>22412</xdr:rowOff>
    </xdr:to>
    <xdr:sp macro="" textlink="">
      <xdr:nvSpPr>
        <xdr:cNvPr id="39" name="Rounded Rectangle 38"/>
        <xdr:cNvSpPr/>
      </xdr:nvSpPr>
      <xdr:spPr>
        <a:xfrm>
          <a:off x="6880412" y="6910666"/>
          <a:ext cx="4549588" cy="4160746"/>
        </a:xfrm>
        <a:prstGeom prst="roundRect">
          <a:avLst>
            <a:gd name="adj" fmla="val 8156"/>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 </a:t>
          </a:r>
        </a:p>
      </xdr:txBody>
    </xdr:sp>
    <xdr:clientData/>
  </xdr:twoCellAnchor>
  <xdr:oneCellAnchor>
    <xdr:from>
      <xdr:col>11</xdr:col>
      <xdr:colOff>313765</xdr:colOff>
      <xdr:row>36</xdr:row>
      <xdr:rowOff>179294</xdr:rowOff>
    </xdr:from>
    <xdr:ext cx="1501245" cy="210250"/>
    <xdr:sp macro="" textlink="">
      <xdr:nvSpPr>
        <xdr:cNvPr id="7" name="TextBox 6"/>
        <xdr:cNvSpPr txBox="1"/>
      </xdr:nvSpPr>
      <xdr:spPr>
        <a:xfrm>
          <a:off x="6970059" y="7037294"/>
          <a:ext cx="1501245"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b="1">
              <a:solidFill>
                <a:schemeClr val="accent1">
                  <a:lumMod val="50000"/>
                </a:schemeClr>
              </a:solidFill>
              <a:latin typeface="Arial" panose="020B0604020202020204" pitchFamily="34" charset="0"/>
              <a:cs typeface="Arial" panose="020B0604020202020204" pitchFamily="34" charset="0"/>
            </a:rPr>
            <a:t>TOTAL</a:t>
          </a:r>
          <a:r>
            <a:rPr lang="en-US" sz="800" b="1" baseline="0">
              <a:solidFill>
                <a:schemeClr val="accent1">
                  <a:lumMod val="50000"/>
                </a:schemeClr>
              </a:solidFill>
              <a:latin typeface="Arial" panose="020B0604020202020204" pitchFamily="34" charset="0"/>
              <a:cs typeface="Arial" panose="020B0604020202020204" pitchFamily="34" charset="0"/>
            </a:rPr>
            <a:t> SALES BY REGION</a:t>
          </a:r>
          <a:endParaRPr lang="en-US" sz="800" b="1">
            <a:solidFill>
              <a:schemeClr val="accent1">
                <a:lumMod val="50000"/>
              </a:schemeClr>
            </a:solidFill>
            <a:latin typeface="Arial" panose="020B0604020202020204" pitchFamily="34" charset="0"/>
            <a:cs typeface="Arial" panose="020B0604020202020204" pitchFamily="34" charset="0"/>
          </a:endParaRPr>
        </a:p>
      </xdr:txBody>
    </xdr:sp>
    <xdr:clientData/>
  </xdr:oneCellAnchor>
  <xdr:twoCellAnchor>
    <xdr:from>
      <xdr:col>11</xdr:col>
      <xdr:colOff>302559</xdr:colOff>
      <xdr:row>38</xdr:row>
      <xdr:rowOff>179294</xdr:rowOff>
    </xdr:from>
    <xdr:to>
      <xdr:col>18</xdr:col>
      <xdr:colOff>403411</xdr:colOff>
      <xdr:row>56</xdr:row>
      <xdr:rowOff>33618</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11</xdr:row>
      <xdr:rowOff>133350</xdr:rowOff>
    </xdr:from>
    <xdr:to>
      <xdr:col>1</xdr:col>
      <xdr:colOff>1162050</xdr:colOff>
      <xdr:row>28</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30</xdr:row>
      <xdr:rowOff>150357</xdr:rowOff>
    </xdr:from>
    <xdr:to>
      <xdr:col>3</xdr:col>
      <xdr:colOff>452438</xdr:colOff>
      <xdr:row>47</xdr:row>
      <xdr:rowOff>78920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642937</xdr:colOff>
      <xdr:row>28</xdr:row>
      <xdr:rowOff>138112</xdr:rowOff>
    </xdr:from>
    <xdr:to>
      <xdr:col>7</xdr:col>
      <xdr:colOff>528637</xdr:colOff>
      <xdr:row>43</xdr:row>
      <xdr:rowOff>23812</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75520</xdr:colOff>
      <xdr:row>20</xdr:row>
      <xdr:rowOff>174852</xdr:rowOff>
    </xdr:from>
    <xdr:to>
      <xdr:col>13</xdr:col>
      <xdr:colOff>572180</xdr:colOff>
      <xdr:row>35</xdr:row>
      <xdr:rowOff>60552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523875</xdr:colOff>
      <xdr:row>5</xdr:row>
      <xdr:rowOff>180975</xdr:rowOff>
    </xdr:from>
    <xdr:to>
      <xdr:col>7</xdr:col>
      <xdr:colOff>571499</xdr:colOff>
      <xdr:row>11</xdr:row>
      <xdr:rowOff>47625</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3875" y="1133475"/>
              <a:ext cx="8877299" cy="1009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108857</xdr:colOff>
      <xdr:row>13</xdr:row>
      <xdr:rowOff>118382</xdr:rowOff>
    </xdr:from>
    <xdr:to>
      <xdr:col>4</xdr:col>
      <xdr:colOff>971550</xdr:colOff>
      <xdr:row>26</xdr:row>
      <xdr:rowOff>166007</xdr:rowOff>
    </xdr:to>
    <mc:AlternateContent xmlns:mc="http://schemas.openxmlformats.org/markup-compatibility/2006" xmlns:a14="http://schemas.microsoft.com/office/drawing/2010/main">
      <mc:Choice Requires="a14">
        <xdr:graphicFrame macro="">
          <xdr:nvGraphicFramePr>
            <xdr:cNvPr id="11"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252232" y="2594882"/>
              <a:ext cx="183424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657225</xdr:colOff>
      <xdr:row>7</xdr:row>
      <xdr:rowOff>28575</xdr:rowOff>
    </xdr:from>
    <xdr:to>
      <xdr:col>12</xdr:col>
      <xdr:colOff>504825</xdr:colOff>
      <xdr:row>20</xdr:row>
      <xdr:rowOff>76200</xdr:rowOff>
    </xdr:to>
    <mc:AlternateContent xmlns:mc="http://schemas.openxmlformats.org/markup-compatibility/2006" xmlns:a14="http://schemas.microsoft.com/office/drawing/2010/main">
      <mc:Choice Requires="a14">
        <xdr:graphicFrame macro="">
          <xdr:nvGraphicFramePr>
            <xdr:cNvPr id="13" name="Sales Channel"/>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2087225" y="1362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95.527045601855" createdVersion="5" refreshedVersion="5" minRefreshableVersion="3" recordCount="100">
  <cacheSource type="worksheet">
    <worksheetSource name="Table1"/>
  </cacheSource>
  <cacheFields count="14">
    <cacheField name="Region" numFmtId="0">
      <sharedItems count="7">
        <s v="Australia and Oceania"/>
        <s v="Central America and the Caribbean"/>
        <s v="Europe"/>
        <s v="Sub-Saharan Africa"/>
        <s v="Asia"/>
        <s v="Middle East and North Africa"/>
        <s v="North America"/>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ount="12">
        <s v="Baby Food"/>
        <s v="Cereal"/>
        <s v="Office Supplies"/>
        <s v="Fruits"/>
        <s v="Household"/>
        <s v="Vegetables"/>
        <s v="Personal Care"/>
        <s v="Clothes"/>
        <s v="Cosmetics"/>
        <s v="Beverages"/>
        <s v="Meat"/>
        <s v="Snacks"/>
      </sharedItems>
    </cacheField>
    <cacheField name="Sales Channel" numFmtId="0">
      <sharedItems count="2">
        <s v="Offline"/>
        <s v="Online"/>
      </sharedItems>
    </cacheField>
    <cacheField name="Order Priority" numFmtId="0">
      <sharedItems count="4">
        <s v="H"/>
        <s v="C"/>
        <s v="L"/>
        <s v="M"/>
      </sharedItems>
    </cacheField>
    <cacheField name="Order Date" numFmtId="14">
      <sharedItems containsSemiMixedTypes="0" containsNonDate="0" containsDate="1" containsString="0" minDate="2010-02-02T00:00:00" maxDate="2017-05-23T00:00:00"/>
    </cacheField>
    <cacheField name="Order ID" numFmtId="0">
      <sharedItems containsSemiMixedTypes="0" containsString="0" containsNumber="1" containsInteger="1" minValue="114606559" maxValue="994022214"/>
    </cacheField>
    <cacheField name="Ship Date" numFmtId="14">
      <sharedItems containsSemiMixedTypes="0" containsNonDate="0" containsDate="1" containsString="0" minDate="2010-02-25T00:00:00" maxDate="2017-06-18T00:00:00"/>
    </cacheField>
    <cacheField name="Units Sold" numFmtId="164">
      <sharedItems containsSemiMixedTypes="0" containsString="0" containsNumber="1" containsInteger="1" minValue="124" maxValue="9925"/>
    </cacheField>
    <cacheField name="Unit Price" numFmtId="164">
      <sharedItems containsSemiMixedTypes="0" containsString="0" containsNumber="1" minValue="9.33" maxValue="668.27"/>
    </cacheField>
    <cacheField name="Unit Cost" numFmtId="164">
      <sharedItems containsSemiMixedTypes="0" containsString="0" containsNumber="1" minValue="6.92" maxValue="524.96"/>
    </cacheField>
    <cacheField name="Total Revenue" numFmtId="164">
      <sharedItems containsSemiMixedTypes="0" containsString="0" containsNumber="1" minValue="4870.26" maxValue="5997054.9800000004" count="100">
        <n v="2533654"/>
        <n v="576782.80000000005"/>
        <n v="1158502.5900000001"/>
        <n v="75591.66"/>
        <n v="3296425.02"/>
        <n v="759202.72"/>
        <n v="2798046.49"/>
        <n v="1245112.92"/>
        <n v="496101.1"/>
        <n v="1356180.1"/>
        <n v="19103.439999999999"/>
        <n v="455479.03999999998"/>
        <n v="902980.64"/>
        <n v="5997054.9800000004"/>
        <n v="400558.73"/>
        <n v="182825.44"/>
        <n v="3039414.4"/>
        <n v="257653.5"/>
        <n v="2559474.1"/>
        <n v="2492526.12"/>
        <n v="1901836"/>
        <n v="324971.44"/>
        <n v="339490.5"/>
        <n v="20404.71"/>
        <n v="414371.1"/>
        <n v="793518"/>
        <n v="50363.34"/>
        <n v="54319.26"/>
        <n v="243133.8"/>
        <n v="1583799.9"/>
        <n v="3786589.2"/>
        <n v="173676.25"/>
        <n v="1904138.04"/>
        <n v="5513227.5"/>
        <n v="1117953.6599999999"/>
        <n v="523807.57"/>
        <n v="35304.720000000001"/>
        <n v="2011149.63"/>
        <n v="4368316.68"/>
        <n v="2596374.27"/>
        <n v="246415.95"/>
        <n v="3162704.8"/>
        <n v="435466.9"/>
        <n v="26344.26"/>
        <n v="648030.4"/>
        <n v="197883.4"/>
        <n v="3876652.4"/>
        <n v="22312.29"/>
        <n v="856973.76"/>
        <n v="824431.86"/>
        <n v="247956.32"/>
        <n v="89623.98"/>
        <n v="835759.1"/>
        <n v="2251232.9700000002"/>
        <n v="71253.210000000006"/>
        <n v="380512.96"/>
        <n v="1082418.3999999999"/>
        <n v="1244708.3999999999"/>
        <n v="188452.14"/>
        <n v="3154398"/>
        <n v="140287.4"/>
        <n v="1212580"/>
        <n v="3593376.78"/>
        <n v="668356.48"/>
        <n v="745426"/>
        <n v="1957344.4"/>
        <n v="707454.88"/>
        <n v="600821.43999999994"/>
        <n v="5396577.2699999996"/>
        <n v="802333.76"/>
        <n v="3262562.1"/>
        <n v="6279.09"/>
        <n v="272410.45"/>
        <n v="1780539.2"/>
        <n v="4324782.4000000004"/>
        <n v="4647149.58"/>
        <n v="445033.55"/>
        <n v="574951.92000000004"/>
        <n v="2198981.92"/>
        <n v="4220728.8"/>
        <n v="3015902.51"/>
        <n v="861563.52"/>
        <n v="2836990.8"/>
        <n v="623289.30000000005"/>
        <n v="994765.42"/>
        <n v="524870.06000000006"/>
        <n v="418936.05"/>
        <n v="1419101.52"/>
        <n v="4870.26"/>
        <n v="221117"/>
        <n v="617347.07999999996"/>
        <n v="445508.05"/>
        <n v="1316095.4099999999"/>
        <n v="3458252"/>
        <n v="387002.2"/>
        <n v="97040.639999999999"/>
        <n v="58471.11"/>
        <n v="228779.1"/>
        <n v="471336.91"/>
        <n v="3586605.09"/>
      </sharedItems>
    </cacheField>
    <cacheField name="Total Cost" numFmtId="164">
      <sharedItems containsSemiMixedTypes="0" containsString="0" containsNumber="1" minValue="3612.24" maxValue="4509793.96"/>
    </cacheField>
    <cacheField name="Total Profit" numFmtId="164">
      <sharedItems containsSemiMixedTypes="0" containsString="0" containsNumber="1" minValue="1258.02" maxValue="1719922.04"/>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x v="0"/>
    <d v="2010-05-28T00:00:00"/>
    <n v="669165933"/>
    <d v="2010-06-27T00:00:00"/>
    <n v="9925"/>
    <n v="255.28"/>
    <n v="159.41999999999999"/>
    <x v="0"/>
    <n v="1582243.5"/>
    <n v="951410.5"/>
  </r>
  <r>
    <x v="1"/>
    <x v="1"/>
    <x v="1"/>
    <x v="1"/>
    <x v="1"/>
    <d v="2012-08-22T00:00:00"/>
    <n v="963881480"/>
    <d v="2012-09-15T00:00:00"/>
    <n v="2804"/>
    <n v="205.7"/>
    <n v="117.11"/>
    <x v="1"/>
    <n v="328376.44"/>
    <n v="248406.36"/>
  </r>
  <r>
    <x v="2"/>
    <x v="2"/>
    <x v="2"/>
    <x v="0"/>
    <x v="2"/>
    <d v="2014-05-02T00:00:00"/>
    <n v="341417157"/>
    <d v="2014-05-08T00:00:00"/>
    <n v="1779"/>
    <n v="651.21"/>
    <n v="524.96"/>
    <x v="2"/>
    <n v="933903.84"/>
    <n v="224598.75"/>
  </r>
  <r>
    <x v="3"/>
    <x v="3"/>
    <x v="3"/>
    <x v="1"/>
    <x v="1"/>
    <d v="2014-06-20T00:00:00"/>
    <n v="514321792"/>
    <d v="2014-07-05T00:00:00"/>
    <n v="8102"/>
    <n v="9.33"/>
    <n v="6.92"/>
    <x v="3"/>
    <n v="56065.84"/>
    <n v="19525.82"/>
  </r>
  <r>
    <x v="3"/>
    <x v="4"/>
    <x v="2"/>
    <x v="0"/>
    <x v="2"/>
    <d v="2013-02-01T00:00:00"/>
    <n v="115456712"/>
    <d v="2013-02-06T00:00:00"/>
    <n v="5062"/>
    <n v="651.21"/>
    <n v="524.96"/>
    <x v="4"/>
    <n v="2657347.52"/>
    <n v="639077.5"/>
  </r>
  <r>
    <x v="0"/>
    <x v="5"/>
    <x v="0"/>
    <x v="1"/>
    <x v="1"/>
    <d v="2015-02-04T00:00:00"/>
    <n v="547995746"/>
    <d v="2015-02-21T00:00:00"/>
    <n v="2974"/>
    <n v="255.28"/>
    <n v="159.41999999999999"/>
    <x v="5"/>
    <n v="474115.08"/>
    <n v="285087.64"/>
  </r>
  <r>
    <x v="3"/>
    <x v="6"/>
    <x v="4"/>
    <x v="0"/>
    <x v="3"/>
    <d v="2011-04-23T00:00:00"/>
    <n v="135425221"/>
    <d v="2011-04-27T00:00:00"/>
    <n v="4187"/>
    <n v="668.27"/>
    <n v="502.54"/>
    <x v="6"/>
    <n v="2104134.98"/>
    <n v="693911.51"/>
  </r>
  <r>
    <x v="3"/>
    <x v="7"/>
    <x v="5"/>
    <x v="1"/>
    <x v="0"/>
    <d v="2012-07-17T00:00:00"/>
    <n v="871543967"/>
    <d v="2012-07-27T00:00:00"/>
    <n v="8082"/>
    <n v="154.06"/>
    <n v="90.93"/>
    <x v="7"/>
    <n v="734896.26"/>
    <n v="510216.66"/>
  </r>
  <r>
    <x v="3"/>
    <x v="8"/>
    <x v="6"/>
    <x v="0"/>
    <x v="3"/>
    <d v="2015-07-14T00:00:00"/>
    <n v="770463311"/>
    <d v="2015-08-25T00:00:00"/>
    <n v="6070"/>
    <n v="81.73"/>
    <n v="56.67"/>
    <x v="8"/>
    <n v="343986.9"/>
    <n v="152114.20000000001"/>
  </r>
  <r>
    <x v="3"/>
    <x v="9"/>
    <x v="1"/>
    <x v="1"/>
    <x v="0"/>
    <d v="2014-04-18T00:00:00"/>
    <n v="616607081"/>
    <d v="2014-05-30T00:00:00"/>
    <n v="6593"/>
    <n v="205.7"/>
    <n v="117.11"/>
    <x v="9"/>
    <n v="772106.23"/>
    <n v="584073.87"/>
  </r>
  <r>
    <x v="4"/>
    <x v="10"/>
    <x v="5"/>
    <x v="1"/>
    <x v="0"/>
    <d v="2011-06-24T00:00:00"/>
    <n v="814711606"/>
    <d v="2011-07-12T00:00:00"/>
    <n v="124"/>
    <n v="154.06"/>
    <n v="90.93"/>
    <x v="10"/>
    <n v="11275.32"/>
    <n v="7828.12"/>
  </r>
  <r>
    <x v="3"/>
    <x v="11"/>
    <x v="7"/>
    <x v="0"/>
    <x v="0"/>
    <d v="2014-08-02T00:00:00"/>
    <n v="939825713"/>
    <d v="2014-08-19T00:00:00"/>
    <n v="4168"/>
    <n v="109.28"/>
    <n v="35.840000000000003"/>
    <x v="11"/>
    <n v="149381.12"/>
    <n v="306097.91999999998"/>
  </r>
  <r>
    <x v="4"/>
    <x v="12"/>
    <x v="7"/>
    <x v="1"/>
    <x v="2"/>
    <d v="2017-01-13T00:00:00"/>
    <n v="187310731"/>
    <d v="2017-03-01T00:00:00"/>
    <n v="8263"/>
    <n v="109.28"/>
    <n v="35.840000000000003"/>
    <x v="12"/>
    <n v="296145.91999999998"/>
    <n v="606834.72"/>
  </r>
  <r>
    <x v="1"/>
    <x v="13"/>
    <x v="4"/>
    <x v="0"/>
    <x v="0"/>
    <d v="2017-02-08T00:00:00"/>
    <n v="522840487"/>
    <d v="2017-02-13T00:00:00"/>
    <n v="8974"/>
    <n v="668.27"/>
    <n v="502.54"/>
    <x v="13"/>
    <n v="4509793.96"/>
    <n v="1487261.02"/>
  </r>
  <r>
    <x v="4"/>
    <x v="14"/>
    <x v="6"/>
    <x v="0"/>
    <x v="1"/>
    <d v="2014-02-19T00:00:00"/>
    <n v="832401311"/>
    <d v="2014-02-23T00:00:00"/>
    <n v="4901"/>
    <n v="81.73"/>
    <n v="56.67"/>
    <x v="14"/>
    <n v="277739.67"/>
    <n v="122819.06"/>
  </r>
  <r>
    <x v="2"/>
    <x v="15"/>
    <x v="7"/>
    <x v="1"/>
    <x v="3"/>
    <d v="2012-04-23T00:00:00"/>
    <n v="972292029"/>
    <d v="2012-06-03T00:00:00"/>
    <n v="1673"/>
    <n v="109.28"/>
    <n v="35.840000000000003"/>
    <x v="15"/>
    <n v="59960.32"/>
    <n v="122865.12"/>
  </r>
  <r>
    <x v="4"/>
    <x v="16"/>
    <x v="8"/>
    <x v="0"/>
    <x v="3"/>
    <d v="2016-11-19T00:00:00"/>
    <n v="419123971"/>
    <d v="2016-12-18T00:00:00"/>
    <n v="6952"/>
    <n v="437.2"/>
    <n v="263.33"/>
    <x v="16"/>
    <n v="1830670.16"/>
    <n v="1208744.24"/>
  </r>
  <r>
    <x v="3"/>
    <x v="17"/>
    <x v="9"/>
    <x v="0"/>
    <x v="1"/>
    <d v="2015-04-01T00:00:00"/>
    <n v="519820964"/>
    <d v="2015-04-18T00:00:00"/>
    <n v="5430"/>
    <n v="47.45"/>
    <n v="31.79"/>
    <x v="17"/>
    <n v="172619.7"/>
    <n v="85033.8"/>
  </r>
  <r>
    <x v="4"/>
    <x v="18"/>
    <x v="4"/>
    <x v="0"/>
    <x v="2"/>
    <d v="2010-12-30T00:00:00"/>
    <n v="441619336"/>
    <d v="2011-01-20T00:00:00"/>
    <n v="3830"/>
    <n v="668.27"/>
    <n v="502.54"/>
    <x v="18"/>
    <n v="1924728.2"/>
    <n v="634745.9"/>
  </r>
  <r>
    <x v="0"/>
    <x v="19"/>
    <x v="10"/>
    <x v="1"/>
    <x v="2"/>
    <d v="2012-07-31T00:00:00"/>
    <n v="322067916"/>
    <d v="2012-09-11T00:00:00"/>
    <n v="5908"/>
    <n v="421.89"/>
    <n v="364.69"/>
    <x v="19"/>
    <n v="2154588.52"/>
    <n v="337937.6"/>
  </r>
  <r>
    <x v="2"/>
    <x v="20"/>
    <x v="0"/>
    <x v="1"/>
    <x v="2"/>
    <d v="2014-05-14T00:00:00"/>
    <n v="819028031"/>
    <d v="2014-06-28T00:00:00"/>
    <n v="7450"/>
    <n v="255.28"/>
    <n v="159.41999999999999"/>
    <x v="20"/>
    <n v="1187679"/>
    <n v="714157"/>
  </r>
  <r>
    <x v="2"/>
    <x v="21"/>
    <x v="0"/>
    <x v="1"/>
    <x v="0"/>
    <d v="2015-07-31T00:00:00"/>
    <n v="860673511"/>
    <d v="2015-09-03T00:00:00"/>
    <n v="1273"/>
    <n v="255.28"/>
    <n v="159.41999999999999"/>
    <x v="21"/>
    <n v="202941.66"/>
    <n v="122029.78"/>
  </r>
  <r>
    <x v="1"/>
    <x v="13"/>
    <x v="11"/>
    <x v="1"/>
    <x v="2"/>
    <d v="2016-06-30T00:00:00"/>
    <n v="795490682"/>
    <d v="2016-07-26T00:00:00"/>
    <n v="2225"/>
    <n v="152.58000000000001"/>
    <n v="97.44"/>
    <x v="22"/>
    <n v="216804"/>
    <n v="122686.5"/>
  </r>
  <r>
    <x v="0"/>
    <x v="22"/>
    <x v="3"/>
    <x v="1"/>
    <x v="0"/>
    <d v="2014-09-08T00:00:00"/>
    <n v="142278373"/>
    <d v="2014-10-04T00:00:00"/>
    <n v="2187"/>
    <n v="9.33"/>
    <n v="6.92"/>
    <x v="23"/>
    <n v="15134.04"/>
    <n v="5270.67"/>
  </r>
  <r>
    <x v="2"/>
    <x v="23"/>
    <x v="6"/>
    <x v="1"/>
    <x v="2"/>
    <d v="2016-05-07T00:00:00"/>
    <n v="740147912"/>
    <d v="2016-05-10T00:00:00"/>
    <n v="5070"/>
    <n v="81.73"/>
    <n v="56.67"/>
    <x v="24"/>
    <n v="287316.90000000002"/>
    <n v="127054.2"/>
  </r>
  <r>
    <x v="2"/>
    <x v="24"/>
    <x v="8"/>
    <x v="1"/>
    <x v="0"/>
    <d v="2017-05-22T00:00:00"/>
    <n v="898523128"/>
    <d v="2017-06-05T00:00:00"/>
    <n v="1815"/>
    <n v="437.2"/>
    <n v="263.33"/>
    <x v="25"/>
    <n v="477943.95"/>
    <n v="315574.05"/>
  </r>
  <r>
    <x v="0"/>
    <x v="25"/>
    <x v="3"/>
    <x v="1"/>
    <x v="3"/>
    <d v="2014-10-13T00:00:00"/>
    <n v="347140347"/>
    <d v="2014-11-10T00:00:00"/>
    <n v="5398"/>
    <n v="9.33"/>
    <n v="6.92"/>
    <x v="26"/>
    <n v="37354.160000000003"/>
    <n v="13009.18"/>
  </r>
  <r>
    <x v="3"/>
    <x v="26"/>
    <x v="3"/>
    <x v="1"/>
    <x v="2"/>
    <d v="2010-05-07T00:00:00"/>
    <n v="686048400"/>
    <d v="2010-05-10T00:00:00"/>
    <n v="5822"/>
    <n v="9.33"/>
    <n v="6.92"/>
    <x v="27"/>
    <n v="40288.239999999998"/>
    <n v="14031.02"/>
  </r>
  <r>
    <x v="2"/>
    <x v="20"/>
    <x v="9"/>
    <x v="0"/>
    <x v="1"/>
    <d v="2014-07-18T00:00:00"/>
    <n v="435608613"/>
    <d v="2014-07-30T00:00:00"/>
    <n v="5124"/>
    <n v="47.45"/>
    <n v="31.79"/>
    <x v="28"/>
    <n v="162891.96"/>
    <n v="80241.84"/>
  </r>
  <r>
    <x v="3"/>
    <x v="27"/>
    <x v="4"/>
    <x v="0"/>
    <x v="2"/>
    <d v="2012-05-26T00:00:00"/>
    <n v="886494815"/>
    <d v="2012-06-09T00:00:00"/>
    <n v="2370"/>
    <n v="668.27"/>
    <n v="502.54"/>
    <x v="29"/>
    <n v="1191019.8"/>
    <n v="392780.1"/>
  </r>
  <r>
    <x v="2"/>
    <x v="28"/>
    <x v="8"/>
    <x v="0"/>
    <x v="3"/>
    <d v="2012-09-17T00:00:00"/>
    <n v="249693334"/>
    <d v="2012-10-20T00:00:00"/>
    <n v="8661"/>
    <n v="437.2"/>
    <n v="263.33"/>
    <x v="30"/>
    <n v="2280701.13"/>
    <n v="1505888.07"/>
  </r>
  <r>
    <x v="3"/>
    <x v="29"/>
    <x v="6"/>
    <x v="0"/>
    <x v="1"/>
    <d v="2013-12-29T00:00:00"/>
    <n v="406502997"/>
    <d v="2014-01-28T00:00:00"/>
    <n v="2125"/>
    <n v="81.73"/>
    <n v="56.67"/>
    <x v="31"/>
    <n v="120423.75"/>
    <n v="53252.5"/>
  </r>
  <r>
    <x v="0"/>
    <x v="30"/>
    <x v="2"/>
    <x v="1"/>
    <x v="1"/>
    <d v="2015-10-27T00:00:00"/>
    <n v="158535134"/>
    <d v="2015-11-25T00:00:00"/>
    <n v="2924"/>
    <n v="651.21"/>
    <n v="524.96"/>
    <x v="32"/>
    <n v="1534983.04"/>
    <n v="369155"/>
  </r>
  <r>
    <x v="4"/>
    <x v="31"/>
    <x v="4"/>
    <x v="0"/>
    <x v="0"/>
    <d v="2015-01-16T00:00:00"/>
    <n v="177713572"/>
    <d v="2015-03-01T00:00:00"/>
    <n v="8250"/>
    <n v="668.27"/>
    <n v="502.54"/>
    <x v="33"/>
    <n v="4145955"/>
    <n v="1367272.5"/>
  </r>
  <r>
    <x v="3"/>
    <x v="32"/>
    <x v="11"/>
    <x v="1"/>
    <x v="3"/>
    <d v="2017-02-25T00:00:00"/>
    <n v="756274640"/>
    <d v="2017-02-25T00:00:00"/>
    <n v="7327"/>
    <n v="152.58000000000001"/>
    <n v="97.44"/>
    <x v="34"/>
    <n v="713942.88"/>
    <n v="404010.78"/>
  </r>
  <r>
    <x v="1"/>
    <x v="33"/>
    <x v="6"/>
    <x v="0"/>
    <x v="2"/>
    <d v="2017-05-08T00:00:00"/>
    <n v="456767165"/>
    <d v="2017-05-21T00:00:00"/>
    <n v="6409"/>
    <n v="81.73"/>
    <n v="56.67"/>
    <x v="35"/>
    <n v="363198.03"/>
    <n v="160609.54"/>
  </r>
  <r>
    <x v="5"/>
    <x v="34"/>
    <x v="3"/>
    <x v="1"/>
    <x v="2"/>
    <d v="2011-11-22T00:00:00"/>
    <n v="162052476"/>
    <d v="2011-12-03T00:00:00"/>
    <n v="3784"/>
    <n v="9.33"/>
    <n v="6.92"/>
    <x v="36"/>
    <n v="26185.279999999999"/>
    <n v="9119.44"/>
  </r>
  <r>
    <x v="3"/>
    <x v="27"/>
    <x v="10"/>
    <x v="1"/>
    <x v="3"/>
    <d v="2017-01-14T00:00:00"/>
    <n v="825304400"/>
    <d v="2017-01-23T00:00:00"/>
    <n v="4767"/>
    <n v="421.89"/>
    <n v="364.69"/>
    <x v="37"/>
    <n v="1738477.23"/>
    <n v="272672.40000000002"/>
  </r>
  <r>
    <x v="4"/>
    <x v="35"/>
    <x v="2"/>
    <x v="1"/>
    <x v="2"/>
    <d v="2012-04-01T00:00:00"/>
    <n v="320009267"/>
    <d v="2012-05-08T00:00:00"/>
    <n v="6708"/>
    <n v="651.21"/>
    <n v="524.96"/>
    <x v="38"/>
    <n v="3521431.68"/>
    <n v="846885"/>
  </r>
  <r>
    <x v="2"/>
    <x v="15"/>
    <x v="2"/>
    <x v="1"/>
    <x v="3"/>
    <d v="2012-02-16T00:00:00"/>
    <n v="189965903"/>
    <d v="2012-02-28T00:00:00"/>
    <n v="3987"/>
    <n v="651.21"/>
    <n v="524.96"/>
    <x v="39"/>
    <n v="2093015.52"/>
    <n v="503358.75"/>
  </r>
  <r>
    <x v="3"/>
    <x v="36"/>
    <x v="6"/>
    <x v="1"/>
    <x v="0"/>
    <d v="2017-03-11T00:00:00"/>
    <n v="699285638"/>
    <d v="2017-03-28T00:00:00"/>
    <n v="3015"/>
    <n v="81.73"/>
    <n v="56.67"/>
    <x v="40"/>
    <n v="170860.05"/>
    <n v="75555.899999999994"/>
  </r>
  <r>
    <x v="5"/>
    <x v="37"/>
    <x v="8"/>
    <x v="1"/>
    <x v="3"/>
    <d v="2010-02-06T00:00:00"/>
    <n v="382392299"/>
    <d v="2010-02-25T00:00:00"/>
    <n v="7234"/>
    <n v="437.2"/>
    <n v="263.33"/>
    <x v="41"/>
    <n v="1904929.22"/>
    <n v="1257775.58"/>
  </r>
  <r>
    <x v="3"/>
    <x v="27"/>
    <x v="1"/>
    <x v="0"/>
    <x v="0"/>
    <d v="2012-06-07T00:00:00"/>
    <n v="994022214"/>
    <d v="2012-06-08T00:00:00"/>
    <n v="2117"/>
    <n v="205.7"/>
    <n v="117.11"/>
    <x v="42"/>
    <n v="247921.87"/>
    <n v="187545.03"/>
  </r>
  <r>
    <x v="2"/>
    <x v="38"/>
    <x v="5"/>
    <x v="1"/>
    <x v="0"/>
    <d v="2012-10-06T00:00:00"/>
    <n v="759224212"/>
    <d v="2012-11-10T00:00:00"/>
    <n v="171"/>
    <n v="154.06"/>
    <n v="90.93"/>
    <x v="43"/>
    <n v="15549.03"/>
    <n v="10795.23"/>
  </r>
  <r>
    <x v="4"/>
    <x v="31"/>
    <x v="7"/>
    <x v="1"/>
    <x v="0"/>
    <d v="2015-11-14T00:00:00"/>
    <n v="223359620"/>
    <d v="2015-11-18T00:00:00"/>
    <n v="5930"/>
    <n v="109.28"/>
    <n v="35.840000000000003"/>
    <x v="44"/>
    <n v="212531.20000000001"/>
    <n v="435499.2"/>
  </r>
  <r>
    <x v="3"/>
    <x v="39"/>
    <x v="1"/>
    <x v="0"/>
    <x v="0"/>
    <d v="2016-03-29T00:00:00"/>
    <n v="902102267"/>
    <d v="2016-04-29T00:00:00"/>
    <n v="962"/>
    <n v="205.7"/>
    <n v="117.11"/>
    <x v="45"/>
    <n v="112659.82"/>
    <n v="85223.58"/>
  </r>
  <r>
    <x v="2"/>
    <x v="40"/>
    <x v="8"/>
    <x v="1"/>
    <x v="1"/>
    <d v="2016-12-31T00:00:00"/>
    <n v="331438481"/>
    <d v="2016-12-31T00:00:00"/>
    <n v="8867"/>
    <n v="437.2"/>
    <n v="263.33"/>
    <x v="46"/>
    <n v="2334947.11"/>
    <n v="1541705.29"/>
  </r>
  <r>
    <x v="2"/>
    <x v="28"/>
    <x v="6"/>
    <x v="1"/>
    <x v="3"/>
    <d v="2010-12-23T00:00:00"/>
    <n v="617667090"/>
    <d v="2011-01-31T00:00:00"/>
    <n v="273"/>
    <n v="81.73"/>
    <n v="56.67"/>
    <x v="47"/>
    <n v="15470.91"/>
    <n v="6841.38"/>
  </r>
  <r>
    <x v="2"/>
    <x v="41"/>
    <x v="7"/>
    <x v="0"/>
    <x v="1"/>
    <d v="2014-10-14T00:00:00"/>
    <n v="787399423"/>
    <d v="2014-11-14T00:00:00"/>
    <n v="7842"/>
    <n v="109.28"/>
    <n v="35.840000000000003"/>
    <x v="48"/>
    <n v="281057.28000000003"/>
    <n v="575916.48"/>
  </r>
  <r>
    <x v="3"/>
    <x v="42"/>
    <x v="2"/>
    <x v="0"/>
    <x v="1"/>
    <d v="2012-01-11T00:00:00"/>
    <n v="837559306"/>
    <d v="2012-01-13T00:00:00"/>
    <n v="1266"/>
    <n v="651.21"/>
    <n v="524.96"/>
    <x v="49"/>
    <n v="664599.36"/>
    <n v="159832.5"/>
  </r>
  <r>
    <x v="2"/>
    <x v="43"/>
    <x v="7"/>
    <x v="1"/>
    <x v="1"/>
    <d v="2010-02-02T00:00:00"/>
    <n v="385383069"/>
    <d v="2010-03-18T00:00:00"/>
    <n v="2269"/>
    <n v="109.28"/>
    <n v="35.840000000000003"/>
    <x v="50"/>
    <n v="81320.960000000006"/>
    <n v="166635.35999999999"/>
  </r>
  <r>
    <x v="3"/>
    <x v="44"/>
    <x v="3"/>
    <x v="1"/>
    <x v="2"/>
    <d v="2013-08-18T00:00:00"/>
    <n v="918419539"/>
    <d v="2013-09-18T00:00:00"/>
    <n v="9606"/>
    <n v="9.33"/>
    <n v="6.92"/>
    <x v="51"/>
    <n v="66473.52"/>
    <n v="23150.46"/>
  </r>
  <r>
    <x v="5"/>
    <x v="45"/>
    <x v="1"/>
    <x v="1"/>
    <x v="3"/>
    <d v="2013-03-25T00:00:00"/>
    <n v="844530045"/>
    <d v="2013-03-28T00:00:00"/>
    <n v="4063"/>
    <n v="205.7"/>
    <n v="117.11"/>
    <x v="52"/>
    <n v="475817.93"/>
    <n v="359941.17"/>
  </r>
  <r>
    <x v="3"/>
    <x v="46"/>
    <x v="2"/>
    <x v="0"/>
    <x v="3"/>
    <d v="2011-11-26T00:00:00"/>
    <n v="441888415"/>
    <d v="2012-01-07T00:00:00"/>
    <n v="3457"/>
    <n v="651.21"/>
    <n v="524.96"/>
    <x v="53"/>
    <n v="1814786.72"/>
    <n v="436446.25"/>
  </r>
  <r>
    <x v="3"/>
    <x v="3"/>
    <x v="3"/>
    <x v="0"/>
    <x v="0"/>
    <d v="2013-09-17T00:00:00"/>
    <n v="508980977"/>
    <d v="2013-10-24T00:00:00"/>
    <n v="7637"/>
    <n v="9.33"/>
    <n v="6.92"/>
    <x v="54"/>
    <n v="52848.04"/>
    <n v="18405.169999999998"/>
  </r>
  <r>
    <x v="3"/>
    <x v="47"/>
    <x v="7"/>
    <x v="1"/>
    <x v="1"/>
    <d v="2012-06-08T00:00:00"/>
    <n v="114606559"/>
    <d v="2012-06-27T00:00:00"/>
    <n v="3482"/>
    <n v="109.28"/>
    <n v="35.840000000000003"/>
    <x v="55"/>
    <n v="124794.88"/>
    <n v="255718.08"/>
  </r>
  <r>
    <x v="0"/>
    <x v="48"/>
    <x v="7"/>
    <x v="0"/>
    <x v="1"/>
    <d v="2010-06-30T00:00:00"/>
    <n v="647876489"/>
    <d v="2010-08-01T00:00:00"/>
    <n v="9905"/>
    <n v="109.28"/>
    <n v="35.840000000000003"/>
    <x v="56"/>
    <n v="354995.20000000001"/>
    <n v="727423.2"/>
  </r>
  <r>
    <x v="2"/>
    <x v="49"/>
    <x v="8"/>
    <x v="0"/>
    <x v="0"/>
    <d v="2015-02-23T00:00:00"/>
    <n v="868214595"/>
    <d v="2015-03-02T00:00:00"/>
    <n v="2847"/>
    <n v="437.2"/>
    <n v="263.33"/>
    <x v="57"/>
    <n v="749700.51"/>
    <n v="495007.89"/>
  </r>
  <r>
    <x v="2"/>
    <x v="50"/>
    <x v="4"/>
    <x v="1"/>
    <x v="2"/>
    <d v="2012-01-05T00:00:00"/>
    <n v="955357205"/>
    <d v="2012-02-14T00:00:00"/>
    <n v="282"/>
    <n v="668.27"/>
    <n v="502.54"/>
    <x v="58"/>
    <n v="141716.28"/>
    <n v="46735.86"/>
  </r>
  <r>
    <x v="3"/>
    <x v="32"/>
    <x v="8"/>
    <x v="0"/>
    <x v="0"/>
    <d v="2014-04-07T00:00:00"/>
    <n v="259353148"/>
    <d v="2014-04-19T00:00:00"/>
    <n v="7215"/>
    <n v="437.2"/>
    <n v="263.33"/>
    <x v="59"/>
    <n v="1899925.95"/>
    <n v="1254472.05"/>
  </r>
  <r>
    <x v="0"/>
    <x v="30"/>
    <x v="1"/>
    <x v="0"/>
    <x v="0"/>
    <d v="2013-06-09T00:00:00"/>
    <n v="450563752"/>
    <d v="2013-07-02T00:00:00"/>
    <n v="682"/>
    <n v="205.7"/>
    <n v="117.11"/>
    <x v="60"/>
    <n v="79869.02"/>
    <n v="60418.38"/>
  </r>
  <r>
    <x v="2"/>
    <x v="51"/>
    <x v="0"/>
    <x v="1"/>
    <x v="2"/>
    <d v="2013-06-26T00:00:00"/>
    <n v="569662845"/>
    <d v="2013-07-01T00:00:00"/>
    <n v="4750"/>
    <n v="255.28"/>
    <n v="159.41999999999999"/>
    <x v="61"/>
    <n v="757245"/>
    <n v="455335"/>
  </r>
  <r>
    <x v="3"/>
    <x v="17"/>
    <x v="2"/>
    <x v="1"/>
    <x v="3"/>
    <d v="2011-11-07T00:00:00"/>
    <n v="177636754"/>
    <d v="2011-11-15T00:00:00"/>
    <n v="5518"/>
    <n v="651.21"/>
    <n v="524.96"/>
    <x v="62"/>
    <n v="2896729.28"/>
    <n v="696647.5"/>
  </r>
  <r>
    <x v="5"/>
    <x v="52"/>
    <x v="7"/>
    <x v="0"/>
    <x v="0"/>
    <d v="2010-10-30T00:00:00"/>
    <n v="705784308"/>
    <d v="2010-11-17T00:00:00"/>
    <n v="6116"/>
    <n v="109.28"/>
    <n v="35.840000000000003"/>
    <x v="63"/>
    <n v="219197.44"/>
    <n v="449159.04"/>
  </r>
  <r>
    <x v="1"/>
    <x v="53"/>
    <x v="8"/>
    <x v="0"/>
    <x v="0"/>
    <d v="2013-10-13T00:00:00"/>
    <n v="505716836"/>
    <d v="2013-11-16T00:00:00"/>
    <n v="1705"/>
    <n v="437.2"/>
    <n v="263.33"/>
    <x v="64"/>
    <n v="448977.65"/>
    <n v="296448.34999999998"/>
  </r>
  <r>
    <x v="3"/>
    <x v="4"/>
    <x v="8"/>
    <x v="0"/>
    <x v="0"/>
    <d v="2013-10-11T00:00:00"/>
    <n v="699358165"/>
    <d v="2013-11-25T00:00:00"/>
    <n v="4477"/>
    <n v="437.2"/>
    <n v="263.33"/>
    <x v="65"/>
    <n v="1178928.4099999999"/>
    <n v="778415.99"/>
  </r>
  <r>
    <x v="3"/>
    <x v="54"/>
    <x v="6"/>
    <x v="0"/>
    <x v="2"/>
    <d v="2012-07-08T00:00:00"/>
    <n v="228944623"/>
    <d v="2012-07-09T00:00:00"/>
    <n v="8656"/>
    <n v="81.73"/>
    <n v="56.67"/>
    <x v="66"/>
    <n v="490535.52"/>
    <n v="216919.36"/>
  </r>
  <r>
    <x v="1"/>
    <x v="55"/>
    <x v="7"/>
    <x v="0"/>
    <x v="3"/>
    <d v="2016-07-25T00:00:00"/>
    <n v="807025039"/>
    <d v="2016-09-07T00:00:00"/>
    <n v="5498"/>
    <n v="109.28"/>
    <n v="35.840000000000003"/>
    <x v="67"/>
    <n v="197048.32000000001"/>
    <n v="403773.12"/>
  </r>
  <r>
    <x v="2"/>
    <x v="56"/>
    <x v="2"/>
    <x v="0"/>
    <x v="0"/>
    <d v="2010-10-24T00:00:00"/>
    <n v="166460740"/>
    <d v="2010-11-17T00:00:00"/>
    <n v="8287"/>
    <n v="651.21"/>
    <n v="524.96"/>
    <x v="68"/>
    <n v="4350343.5199999996"/>
    <n v="1046233.75"/>
  </r>
  <r>
    <x v="3"/>
    <x v="57"/>
    <x v="7"/>
    <x v="0"/>
    <x v="2"/>
    <d v="2015-04-25T00:00:00"/>
    <n v="610425555"/>
    <d v="2015-05-28T00:00:00"/>
    <n v="7342"/>
    <n v="109.28"/>
    <n v="35.840000000000003"/>
    <x v="69"/>
    <n v="263137.28000000003"/>
    <n v="539196.48"/>
  </r>
  <r>
    <x v="4"/>
    <x v="18"/>
    <x v="2"/>
    <x v="1"/>
    <x v="3"/>
    <d v="2013-04-23T00:00:00"/>
    <n v="462405812"/>
    <d v="2013-05-20T00:00:00"/>
    <n v="5010"/>
    <n v="651.21"/>
    <n v="524.96"/>
    <x v="70"/>
    <n v="2630049.6"/>
    <n v="632512.5"/>
  </r>
  <r>
    <x v="5"/>
    <x v="52"/>
    <x v="3"/>
    <x v="1"/>
    <x v="2"/>
    <d v="2015-08-14T00:00:00"/>
    <n v="816200339"/>
    <d v="2015-09-30T00:00:00"/>
    <n v="673"/>
    <n v="9.33"/>
    <n v="6.92"/>
    <x v="71"/>
    <n v="4657.16"/>
    <n v="1621.93"/>
  </r>
  <r>
    <x v="3"/>
    <x v="58"/>
    <x v="9"/>
    <x v="1"/>
    <x v="1"/>
    <d v="2011-05-26T00:00:00"/>
    <n v="585920464"/>
    <d v="2011-07-15T00:00:00"/>
    <n v="5741"/>
    <n v="47.45"/>
    <n v="31.79"/>
    <x v="72"/>
    <n v="182506.39"/>
    <n v="89904.06"/>
  </r>
  <r>
    <x v="3"/>
    <x v="32"/>
    <x v="1"/>
    <x v="1"/>
    <x v="0"/>
    <d v="2017-05-20T00:00:00"/>
    <n v="555990016"/>
    <d v="2017-06-17T00:00:00"/>
    <n v="8656"/>
    <n v="205.7"/>
    <n v="117.11"/>
    <x v="73"/>
    <n v="1013704.16"/>
    <n v="766835.04"/>
  </r>
  <r>
    <x v="5"/>
    <x v="59"/>
    <x v="8"/>
    <x v="0"/>
    <x v="2"/>
    <d v="2013-07-05T00:00:00"/>
    <n v="231145322"/>
    <d v="2013-08-16T00:00:00"/>
    <n v="9892"/>
    <n v="437.2"/>
    <n v="263.33"/>
    <x v="74"/>
    <n v="2604860.36"/>
    <n v="1719922.04"/>
  </r>
  <r>
    <x v="6"/>
    <x v="60"/>
    <x v="4"/>
    <x v="0"/>
    <x v="1"/>
    <d v="2014-11-06T00:00:00"/>
    <n v="986435210"/>
    <d v="2014-12-12T00:00:00"/>
    <n v="6954"/>
    <n v="668.27"/>
    <n v="502.54"/>
    <x v="75"/>
    <n v="3494663.16"/>
    <n v="1152486.42"/>
  </r>
  <r>
    <x v="0"/>
    <x v="61"/>
    <x v="9"/>
    <x v="1"/>
    <x v="1"/>
    <d v="2014-10-28T00:00:00"/>
    <n v="217221009"/>
    <d v="2014-11-15T00:00:00"/>
    <n v="9379"/>
    <n v="47.45"/>
    <n v="31.79"/>
    <x v="76"/>
    <n v="298158.40999999997"/>
    <n v="146875.14000000001"/>
  </r>
  <r>
    <x v="4"/>
    <x v="62"/>
    <x v="5"/>
    <x v="0"/>
    <x v="1"/>
    <d v="2011-09-15T00:00:00"/>
    <n v="789176547"/>
    <d v="2011-10-23T00:00:00"/>
    <n v="3732"/>
    <n v="154.06"/>
    <n v="90.93"/>
    <x v="77"/>
    <n v="339350.76"/>
    <n v="235601.16"/>
  </r>
  <r>
    <x v="2"/>
    <x v="63"/>
    <x v="0"/>
    <x v="0"/>
    <x v="0"/>
    <d v="2012-05-29T00:00:00"/>
    <n v="688288152"/>
    <d v="2012-06-02T00:00:00"/>
    <n v="8614"/>
    <n v="255.28"/>
    <n v="159.41999999999999"/>
    <x v="78"/>
    <n v="1373243.88"/>
    <n v="825738.04"/>
  </r>
  <r>
    <x v="0"/>
    <x v="64"/>
    <x v="8"/>
    <x v="1"/>
    <x v="0"/>
    <d v="2013-07-20T00:00:00"/>
    <n v="670854651"/>
    <d v="2013-08-07T00:00:00"/>
    <n v="9654"/>
    <n v="437.2"/>
    <n v="263.33"/>
    <x v="79"/>
    <n v="2542187.8199999998"/>
    <n v="1678540.98"/>
  </r>
  <r>
    <x v="2"/>
    <x v="65"/>
    <x v="4"/>
    <x v="0"/>
    <x v="2"/>
    <d v="2012-10-21T00:00:00"/>
    <n v="213487374"/>
    <d v="2012-11-30T00:00:00"/>
    <n v="4513"/>
    <n v="668.27"/>
    <n v="502.54"/>
    <x v="80"/>
    <n v="2267963.02"/>
    <n v="747939.49"/>
  </r>
  <r>
    <x v="5"/>
    <x v="66"/>
    <x v="7"/>
    <x v="1"/>
    <x v="2"/>
    <d v="2012-09-18T00:00:00"/>
    <n v="663110148"/>
    <d v="2012-10-08T00:00:00"/>
    <n v="7884"/>
    <n v="109.28"/>
    <n v="35.840000000000003"/>
    <x v="81"/>
    <n v="282562.56"/>
    <n v="579000.96"/>
  </r>
  <r>
    <x v="5"/>
    <x v="67"/>
    <x v="8"/>
    <x v="1"/>
    <x v="0"/>
    <d v="2016-11-15T00:00:00"/>
    <n v="286959302"/>
    <d v="2016-12-08T00:00:00"/>
    <n v="6489"/>
    <n v="437.2"/>
    <n v="263.33"/>
    <x v="82"/>
    <n v="1708748.37"/>
    <n v="1128242.43"/>
  </r>
  <r>
    <x v="3"/>
    <x v="68"/>
    <x v="11"/>
    <x v="1"/>
    <x v="2"/>
    <d v="2011-01-04T00:00:00"/>
    <n v="122583663"/>
    <d v="2011-01-05T00:00:00"/>
    <n v="4085"/>
    <n v="152.58000000000001"/>
    <n v="97.44"/>
    <x v="83"/>
    <n v="398042.4"/>
    <n v="225246.9"/>
  </r>
  <r>
    <x v="3"/>
    <x v="69"/>
    <x v="5"/>
    <x v="1"/>
    <x v="2"/>
    <d v="2012-03-18T00:00:00"/>
    <n v="827844560"/>
    <d v="2012-04-07T00:00:00"/>
    <n v="6457"/>
    <n v="154.06"/>
    <n v="90.93"/>
    <x v="84"/>
    <n v="587135.01"/>
    <n v="407630.41"/>
  </r>
  <r>
    <x v="6"/>
    <x v="60"/>
    <x v="6"/>
    <x v="0"/>
    <x v="2"/>
    <d v="2012-02-17T00:00:00"/>
    <n v="430915820"/>
    <d v="2012-03-20T00:00:00"/>
    <n v="6422"/>
    <n v="81.73"/>
    <n v="56.67"/>
    <x v="85"/>
    <n v="363934.74"/>
    <n v="160935.32"/>
  </r>
  <r>
    <x v="3"/>
    <x v="3"/>
    <x v="9"/>
    <x v="0"/>
    <x v="1"/>
    <d v="2011-01-16T00:00:00"/>
    <n v="180283772"/>
    <d v="2011-01-21T00:00:00"/>
    <n v="8829"/>
    <n v="47.45"/>
    <n v="31.79"/>
    <x v="86"/>
    <n v="280673.90999999997"/>
    <n v="138262.14000000001"/>
  </r>
  <r>
    <x v="3"/>
    <x v="27"/>
    <x v="0"/>
    <x v="0"/>
    <x v="3"/>
    <d v="2014-02-03T00:00:00"/>
    <n v="494747245"/>
    <d v="2014-03-20T00:00:00"/>
    <n v="5559"/>
    <n v="255.28"/>
    <n v="159.41999999999999"/>
    <x v="87"/>
    <n v="886215.78"/>
    <n v="532885.74"/>
  </r>
  <r>
    <x v="5"/>
    <x v="70"/>
    <x v="3"/>
    <x v="1"/>
    <x v="3"/>
    <d v="2012-04-30T00:00:00"/>
    <n v="513417565"/>
    <d v="2012-05-18T00:00:00"/>
    <n v="522"/>
    <n v="9.33"/>
    <n v="6.92"/>
    <x v="88"/>
    <n v="3612.24"/>
    <n v="1258.02"/>
  </r>
  <r>
    <x v="2"/>
    <x v="71"/>
    <x v="9"/>
    <x v="0"/>
    <x v="1"/>
    <d v="2016-10-23T00:00:00"/>
    <n v="345718562"/>
    <d v="2016-11-25T00:00:00"/>
    <n v="4660"/>
    <n v="47.45"/>
    <n v="31.79"/>
    <x v="89"/>
    <n v="148141.4"/>
    <n v="72975.600000000006"/>
  </r>
  <r>
    <x v="3"/>
    <x v="46"/>
    <x v="2"/>
    <x v="0"/>
    <x v="0"/>
    <d v="2016-12-06T00:00:00"/>
    <n v="621386563"/>
    <d v="2016-12-14T00:00:00"/>
    <n v="948"/>
    <n v="651.21"/>
    <n v="524.96"/>
    <x v="90"/>
    <n v="497662.08"/>
    <n v="119685"/>
  </r>
  <r>
    <x v="0"/>
    <x v="30"/>
    <x v="9"/>
    <x v="0"/>
    <x v="0"/>
    <d v="2014-07-07T00:00:00"/>
    <n v="240470397"/>
    <d v="2014-07-11T00:00:00"/>
    <n v="9389"/>
    <n v="47.45"/>
    <n v="31.79"/>
    <x v="91"/>
    <n v="298476.31"/>
    <n v="147031.74"/>
  </r>
  <r>
    <x v="5"/>
    <x v="37"/>
    <x v="2"/>
    <x v="1"/>
    <x v="3"/>
    <d v="2012-06-13T00:00:00"/>
    <n v="423331391"/>
    <d v="2012-07-24T00:00:00"/>
    <n v="2021"/>
    <n v="651.21"/>
    <n v="524.96"/>
    <x v="92"/>
    <n v="1060944.1599999999"/>
    <n v="255151.25"/>
  </r>
  <r>
    <x v="2"/>
    <x v="72"/>
    <x v="8"/>
    <x v="1"/>
    <x v="0"/>
    <d v="2010-11-26T00:00:00"/>
    <n v="660643374"/>
    <d v="2010-12-25T00:00:00"/>
    <n v="7910"/>
    <n v="437.2"/>
    <n v="263.33"/>
    <x v="93"/>
    <n v="2082940.3"/>
    <n v="1375311.7"/>
  </r>
  <r>
    <x v="1"/>
    <x v="73"/>
    <x v="9"/>
    <x v="0"/>
    <x v="1"/>
    <d v="2011-02-08T00:00:00"/>
    <n v="963392674"/>
    <d v="2011-03-21T00:00:00"/>
    <n v="8156"/>
    <n v="47.45"/>
    <n v="31.79"/>
    <x v="94"/>
    <n v="259279.24"/>
    <n v="127722.96"/>
  </r>
  <r>
    <x v="3"/>
    <x v="26"/>
    <x v="7"/>
    <x v="1"/>
    <x v="3"/>
    <d v="2011-07-26T00:00:00"/>
    <n v="512878119"/>
    <d v="2011-09-03T00:00:00"/>
    <n v="888"/>
    <n v="109.28"/>
    <n v="35.840000000000003"/>
    <x v="95"/>
    <n v="31825.919999999998"/>
    <n v="65214.720000000001"/>
  </r>
  <r>
    <x v="4"/>
    <x v="74"/>
    <x v="3"/>
    <x v="0"/>
    <x v="2"/>
    <d v="2011-11-11T00:00:00"/>
    <n v="810711038"/>
    <d v="2011-12-28T00:00:00"/>
    <n v="6267"/>
    <n v="9.33"/>
    <n v="6.92"/>
    <x v="96"/>
    <n v="43367.64"/>
    <n v="15103.47"/>
  </r>
  <r>
    <x v="3"/>
    <x v="46"/>
    <x v="5"/>
    <x v="0"/>
    <x v="1"/>
    <d v="2016-06-01T00:00:00"/>
    <n v="728815257"/>
    <d v="2016-06-29T00:00:00"/>
    <n v="1485"/>
    <n v="154.06"/>
    <n v="90.93"/>
    <x v="97"/>
    <n v="135031.04999999999"/>
    <n v="93748.05"/>
  </r>
  <r>
    <x v="6"/>
    <x v="60"/>
    <x v="6"/>
    <x v="0"/>
    <x v="3"/>
    <d v="2015-07-30T00:00:00"/>
    <n v="559427106"/>
    <d v="2015-08-08T00:00:00"/>
    <n v="5767"/>
    <n v="81.73"/>
    <n v="56.67"/>
    <x v="98"/>
    <n v="326815.89"/>
    <n v="144521.01999999999"/>
  </r>
  <r>
    <x v="3"/>
    <x v="75"/>
    <x v="4"/>
    <x v="0"/>
    <x v="2"/>
    <d v="2012-02-10T00:00:00"/>
    <n v="665095412"/>
    <d v="2012-02-15T00:00:00"/>
    <n v="5367"/>
    <n v="668.27"/>
    <n v="502.54"/>
    <x v="99"/>
    <n v="2697132.18"/>
    <n v="889472.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J3:K6" firstHeaderRow="1" firstDataRow="1" firstDataCol="1"/>
  <pivotFields count="14">
    <pivotField showAll="0">
      <items count="8">
        <item x="4"/>
        <item x="0"/>
        <item x="1"/>
        <item x="2"/>
        <item x="5"/>
        <item x="6"/>
        <item x="3"/>
        <item t="default"/>
      </items>
    </pivotField>
    <pivotField showAll="0"/>
    <pivotField showAll="0">
      <items count="13">
        <item x="0"/>
        <item x="9"/>
        <item x="1"/>
        <item x="7"/>
        <item x="8"/>
        <item x="3"/>
        <item x="4"/>
        <item x="10"/>
        <item x="2"/>
        <item x="6"/>
        <item x="11"/>
        <item x="5"/>
        <item t="default"/>
      </items>
    </pivotField>
    <pivotField axis="axisRow" showAll="0">
      <items count="3">
        <item x="0"/>
        <item x="1"/>
        <item t="default"/>
      </items>
    </pivotField>
    <pivotField showAll="0">
      <items count="5">
        <item x="1"/>
        <item x="0"/>
        <item x="2"/>
        <item x="3"/>
        <item t="default"/>
      </items>
    </pivotField>
    <pivotField numFmtId="14" showAll="0"/>
    <pivotField showAll="0"/>
    <pivotField numFmtId="14" showAll="0"/>
    <pivotField numFmtId="164" showAll="0"/>
    <pivotField numFmtId="164" showAll="0"/>
    <pivotField numFmtId="164" showAll="0"/>
    <pivotField dataField="1" numFmtId="164" showAll="0">
      <items count="101">
        <item x="88"/>
        <item x="71"/>
        <item x="10"/>
        <item x="23"/>
        <item x="47"/>
        <item x="43"/>
        <item x="36"/>
        <item x="26"/>
        <item x="27"/>
        <item x="96"/>
        <item x="54"/>
        <item x="3"/>
        <item x="51"/>
        <item x="95"/>
        <item x="60"/>
        <item x="31"/>
        <item x="15"/>
        <item x="58"/>
        <item x="45"/>
        <item x="89"/>
        <item x="97"/>
        <item x="28"/>
        <item x="40"/>
        <item x="50"/>
        <item x="17"/>
        <item x="72"/>
        <item x="21"/>
        <item x="22"/>
        <item x="55"/>
        <item x="94"/>
        <item x="14"/>
        <item x="24"/>
        <item x="86"/>
        <item x="42"/>
        <item x="76"/>
        <item x="91"/>
        <item x="11"/>
        <item x="98"/>
        <item x="8"/>
        <item x="35"/>
        <item x="85"/>
        <item x="77"/>
        <item x="1"/>
        <item x="67"/>
        <item x="90"/>
        <item x="83"/>
        <item x="44"/>
        <item x="63"/>
        <item x="66"/>
        <item x="64"/>
        <item x="5"/>
        <item x="25"/>
        <item x="69"/>
        <item x="49"/>
        <item x="52"/>
        <item x="48"/>
        <item x="81"/>
        <item x="12"/>
        <item x="84"/>
        <item x="56"/>
        <item x="34"/>
        <item x="2"/>
        <item x="61"/>
        <item x="57"/>
        <item x="7"/>
        <item x="92"/>
        <item x="9"/>
        <item x="87"/>
        <item x="29"/>
        <item x="73"/>
        <item x="20"/>
        <item x="32"/>
        <item x="65"/>
        <item x="37"/>
        <item x="78"/>
        <item x="53"/>
        <item x="19"/>
        <item x="0"/>
        <item x="18"/>
        <item x="39"/>
        <item x="6"/>
        <item x="82"/>
        <item x="80"/>
        <item x="16"/>
        <item x="59"/>
        <item x="41"/>
        <item x="70"/>
        <item x="4"/>
        <item x="93"/>
        <item x="99"/>
        <item x="62"/>
        <item x="30"/>
        <item x="46"/>
        <item x="79"/>
        <item x="74"/>
        <item x="38"/>
        <item x="75"/>
        <item x="68"/>
        <item x="33"/>
        <item x="13"/>
        <item t="default"/>
      </items>
    </pivotField>
    <pivotField numFmtId="164" showAll="0"/>
    <pivotField numFmtId="164" showAll="0"/>
  </pivotFields>
  <rowFields count="1">
    <field x="3"/>
  </rowFields>
  <rowItems count="3">
    <i>
      <x/>
    </i>
    <i>
      <x v="1"/>
    </i>
    <i t="grand">
      <x/>
    </i>
  </rowItems>
  <colItems count="1">
    <i/>
  </colItems>
  <dataFields count="1">
    <dataField name="Sum of Total Revenue" fld="11" baseField="3" baseItem="0" numFmtId="166"/>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 count="1" selected="0">
            <x v="0"/>
          </reference>
        </references>
      </pivotArea>
    </chartFormat>
    <chartFormat chart="1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G3:H16" firstHeaderRow="1" firstDataRow="1" firstDataCol="1"/>
  <pivotFields count="14">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pivotField showAll="0"/>
    <pivotField numFmtId="14" showAll="0"/>
    <pivotField showAll="0"/>
    <pivotField numFmtId="14" showAll="0"/>
    <pivotField dataField="1" numFmtId="164" showAll="0"/>
    <pivotField numFmtId="164" showAll="0"/>
    <pivotField numFmtId="164" showAll="0"/>
    <pivotField numFmtId="164" showAll="0"/>
    <pivotField numFmtId="164" showAll="0"/>
    <pivotField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Units Sold" fld="8" baseField="2" baseItem="0" numFmtId="167"/>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D3:E16" firstHeaderRow="1" firstDataRow="1" firstDataCol="1"/>
  <pivotFields count="14">
    <pivotField showAll="0">
      <items count="8">
        <item x="4"/>
        <item x="0"/>
        <item x="1"/>
        <item x="2"/>
        <item x="5"/>
        <item x="6"/>
        <item x="3"/>
        <item t="default"/>
      </items>
    </pivotField>
    <pivotField showAll="0"/>
    <pivotField axis="axisRow" showAll="0">
      <items count="13">
        <item x="0"/>
        <item x="9"/>
        <item x="1"/>
        <item x="7"/>
        <item x="8"/>
        <item x="3"/>
        <item x="4"/>
        <item x="10"/>
        <item x="2"/>
        <item x="6"/>
        <item x="11"/>
        <item x="5"/>
        <item t="default"/>
      </items>
    </pivotField>
    <pivotField showAll="0"/>
    <pivotField showAll="0"/>
    <pivotField numFmtId="14" showAll="0"/>
    <pivotField showAll="0"/>
    <pivotField numFmtId="14" showAll="0"/>
    <pivotField numFmtId="164" showAll="0"/>
    <pivotField numFmtId="164" showAll="0"/>
    <pivotField numFmtId="164" showAll="0"/>
    <pivotField dataField="1" numFmtId="164" showAll="0"/>
    <pivotField numFmtId="164" showAll="0"/>
    <pivotField numFmtId="164" showAll="0"/>
  </pivotFields>
  <rowFields count="1">
    <field x="2"/>
  </rowFields>
  <rowItems count="13">
    <i>
      <x/>
    </i>
    <i>
      <x v="1"/>
    </i>
    <i>
      <x v="2"/>
    </i>
    <i>
      <x v="3"/>
    </i>
    <i>
      <x v="4"/>
    </i>
    <i>
      <x v="5"/>
    </i>
    <i>
      <x v="6"/>
    </i>
    <i>
      <x v="7"/>
    </i>
    <i>
      <x v="8"/>
    </i>
    <i>
      <x v="9"/>
    </i>
    <i>
      <x v="10"/>
    </i>
    <i>
      <x v="11"/>
    </i>
    <i t="grand">
      <x/>
    </i>
  </rowItems>
  <colItems count="1">
    <i/>
  </colItems>
  <dataFields count="1">
    <dataField name="Sum of Total Revenue" fld="11" baseField="2" baseItem="0" numFmtId="166"/>
  </dataFields>
  <chartFormats count="3">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1" firstHeaderRow="1" firstDataRow="1" firstDataCol="1"/>
  <pivotFields count="14">
    <pivotField axis="axisRow" showAll="0">
      <items count="8">
        <item x="4"/>
        <item x="0"/>
        <item x="1"/>
        <item x="2"/>
        <item x="5"/>
        <item x="6"/>
        <item x="3"/>
        <item t="default"/>
      </items>
    </pivotField>
    <pivotField showAll="0"/>
    <pivotField showAll="0">
      <items count="13">
        <item x="0"/>
        <item x="9"/>
        <item x="1"/>
        <item x="7"/>
        <item x="8"/>
        <item x="3"/>
        <item x="4"/>
        <item x="10"/>
        <item x="2"/>
        <item x="6"/>
        <item x="11"/>
        <item x="5"/>
        <item t="default"/>
      </items>
    </pivotField>
    <pivotField showAll="0">
      <items count="3">
        <item x="0"/>
        <item x="1"/>
        <item t="default"/>
      </items>
    </pivotField>
    <pivotField showAll="0"/>
    <pivotField numFmtId="14" showAll="0"/>
    <pivotField showAll="0"/>
    <pivotField numFmtId="14" showAll="0"/>
    <pivotField numFmtId="164" showAll="0"/>
    <pivotField numFmtId="164" showAll="0"/>
    <pivotField numFmtId="164" showAll="0"/>
    <pivotField dataField="1" numFmtId="164" showAll="0"/>
    <pivotField numFmtId="164" showAll="0"/>
    <pivotField numFmtId="164" showAll="0"/>
  </pivotFields>
  <rowFields count="1">
    <field x="0"/>
  </rowFields>
  <rowItems count="8">
    <i>
      <x/>
    </i>
    <i>
      <x v="1"/>
    </i>
    <i>
      <x v="2"/>
    </i>
    <i>
      <x v="3"/>
    </i>
    <i>
      <x v="4"/>
    </i>
    <i>
      <x v="5"/>
    </i>
    <i>
      <x v="6"/>
    </i>
    <i t="grand">
      <x/>
    </i>
  </rowItems>
  <colItems count="1">
    <i/>
  </colItems>
  <dataFields count="1">
    <dataField name="Sum of Total Revenue" fld="11" baseField="0" baseItem="0" numFmtId="166"/>
  </dataFields>
  <formats count="2">
    <format dxfId="3">
      <pivotArea outline="0" collapsedLevelsAreSubtotals="1" fieldPosition="0"/>
    </format>
    <format dxfId="2">
      <pivotArea outline="0" fieldPosition="0">
        <references count="1">
          <reference field="4294967294" count="1">
            <x v="0"/>
          </reference>
        </references>
      </pivotArea>
    </format>
  </formats>
  <chartFormats count="2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2"/>
          </reference>
        </references>
      </pivotArea>
    </chartFormat>
    <chartFormat chart="3" format="4">
      <pivotArea type="data" outline="0" fieldPosition="0">
        <references count="2">
          <reference field="4294967294" count="1" selected="0">
            <x v="0"/>
          </reference>
          <reference field="0" count="1" selected="0">
            <x v="3"/>
          </reference>
        </references>
      </pivotArea>
    </chartFormat>
    <chartFormat chart="3" format="5">
      <pivotArea type="data" outline="0" fieldPosition="0">
        <references count="2">
          <reference field="4294967294" count="1" selected="0">
            <x v="0"/>
          </reference>
          <reference field="0" count="1" selected="0">
            <x v="4"/>
          </reference>
        </references>
      </pivotArea>
    </chartFormat>
    <chartFormat chart="3" format="6">
      <pivotArea type="data" outline="0" fieldPosition="0">
        <references count="2">
          <reference field="4294967294" count="1" selected="0">
            <x v="0"/>
          </reference>
          <reference field="0" count="1" selected="0">
            <x v="5"/>
          </reference>
        </references>
      </pivotArea>
    </chartFormat>
    <chartFormat chart="3" format="7">
      <pivotArea type="data" outline="0" fieldPosition="0">
        <references count="2">
          <reference field="4294967294" count="1" selected="0">
            <x v="0"/>
          </reference>
          <reference field="0" count="1" selected="0">
            <x v="6"/>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4" format="12">
      <pivotArea type="data" outline="0" fieldPosition="0">
        <references count="2">
          <reference field="4294967294" count="1" selected="0">
            <x v="0"/>
          </reference>
          <reference field="0" count="1" selected="0">
            <x v="4"/>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0" count="1" selected="0">
            <x v="0"/>
          </reference>
        </references>
      </pivotArea>
    </chartFormat>
    <chartFormat chart="7" format="18">
      <pivotArea type="data" outline="0" fieldPosition="0">
        <references count="2">
          <reference field="4294967294" count="1" selected="0">
            <x v="0"/>
          </reference>
          <reference field="0" count="1" selected="0">
            <x v="1"/>
          </reference>
        </references>
      </pivotArea>
    </chartFormat>
    <chartFormat chart="7" format="19">
      <pivotArea type="data" outline="0" fieldPosition="0">
        <references count="2">
          <reference field="4294967294" count="1" selected="0">
            <x v="0"/>
          </reference>
          <reference field="0" count="1" selected="0">
            <x v="2"/>
          </reference>
        </references>
      </pivotArea>
    </chartFormat>
    <chartFormat chart="7" format="20">
      <pivotArea type="data" outline="0" fieldPosition="0">
        <references count="2">
          <reference field="4294967294" count="1" selected="0">
            <x v="0"/>
          </reference>
          <reference field="0" count="1" selected="0">
            <x v="3"/>
          </reference>
        </references>
      </pivotArea>
    </chartFormat>
    <chartFormat chart="7" format="21">
      <pivotArea type="data" outline="0" fieldPosition="0">
        <references count="2">
          <reference field="4294967294" count="1" selected="0">
            <x v="0"/>
          </reference>
          <reference field="0" count="1" selected="0">
            <x v="4"/>
          </reference>
        </references>
      </pivotArea>
    </chartFormat>
    <chartFormat chart="7" format="22">
      <pivotArea type="data" outline="0" fieldPosition="0">
        <references count="2">
          <reference field="4294967294" count="1" selected="0">
            <x v="0"/>
          </reference>
          <reference field="0" count="1" selected="0">
            <x v="5"/>
          </reference>
        </references>
      </pivotArea>
    </chartFormat>
    <chartFormat chart="7" format="23">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8"/>
  </pivotTables>
  <data>
    <tabular pivotCacheId="1">
      <items count="7">
        <i x="4" s="1"/>
        <i x="0" s="1"/>
        <i x="1" s="1"/>
        <i x="2" s="1"/>
        <i x="5" s="1"/>
        <i x="6"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8"/>
  </pivotTables>
  <data>
    <tabular pivotCacheId="1">
      <items count="12">
        <i x="0" s="1"/>
        <i x="9" s="1"/>
        <i x="1" s="1"/>
        <i x="7" s="1"/>
        <i x="8" s="1"/>
        <i x="3" s="1"/>
        <i x="4" s="1"/>
        <i x="10" s="1"/>
        <i x="2" s="1"/>
        <i x="6" s="1"/>
        <i x="11"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Channel" sourceName="Sales Channel">
  <pivotTables>
    <pivotTable tabId="2" name="PivotTable16"/>
  </pivotTables>
  <data>
    <tabular pivotCacheId="1" customListSort="0">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3" showCaption="0" style="SlicerStyleLight5" rowHeight="241300"/>
  <slicer name="Item Type 1" cache="Slicer_Item_Type" caption="Item Type" showCaption="0" rowHeight="241300"/>
  <slicer name="Sales Channel 1" cache="Slicer_Sales_Channel" caption="Sales Channel" showCaption="0"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3" showCaption="0" rowHeight="241300"/>
  <slicer name="Item Type" cache="Slicer_Item_Type" caption="Item Type" rowHeight="241300"/>
  <slicer name="Sales Channel" cache="Slicer_Sales_Channel" caption="Sales Channel" rowHeight="241300"/>
</slicers>
</file>

<file path=xl/tables/table1.xml><?xml version="1.0" encoding="utf-8"?>
<table xmlns="http://schemas.openxmlformats.org/spreadsheetml/2006/main" id="1" name="Table1" displayName="Table1" ref="A1:N101" totalsRowShown="0" headerRowDxfId="13" dataDxfId="12" dataCellStyle="Comma">
  <tableColumns count="14">
    <tableColumn id="1" name="Region"/>
    <tableColumn id="2" name="Country"/>
    <tableColumn id="3" name="Product"/>
    <tableColumn id="4" name="Sales Channel"/>
    <tableColumn id="5" name="Order Priority"/>
    <tableColumn id="6" name="Order Date" dataDxfId="11"/>
    <tableColumn id="7" name="Order ID"/>
    <tableColumn id="8" name="Ship Date" dataDxfId="10"/>
    <tableColumn id="9" name="Units Sold" dataDxfId="9" dataCellStyle="Comma"/>
    <tableColumn id="10" name="Unit Price" dataDxfId="8" dataCellStyle="Comma"/>
    <tableColumn id="11" name="Unit Cost" dataDxfId="7" dataCellStyle="Comma"/>
    <tableColumn id="12" name="Total Revenue" dataDxfId="6" dataCellStyle="Comma"/>
    <tableColumn id="13" name="Total Cost" dataDxfId="5" dataCellStyle="Comma"/>
    <tableColumn id="14" name="Total Profit" dataDxfId="4" dataCellStyle="Comma"/>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election activeCell="Z28" sqref="Z2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zoomScaleNormal="100" workbookViewId="0">
      <selection activeCell="D4" sqref="D4"/>
    </sheetView>
  </sheetViews>
  <sheetFormatPr defaultRowHeight="15" x14ac:dyDescent="0.25"/>
  <cols>
    <col min="1" max="1" width="32.42578125" customWidth="1"/>
    <col min="2" max="2" width="31.5703125" customWidth="1"/>
    <col min="3" max="3" width="14.5703125" customWidth="1"/>
    <col min="4" max="4" width="15.42578125" customWidth="1"/>
    <col min="5" max="5" width="15.28515625" customWidth="1"/>
    <col min="6" max="6" width="12.85546875" customWidth="1"/>
    <col min="7" max="7" width="10.5703125" customWidth="1"/>
    <col min="8" max="8" width="11.5703125" customWidth="1"/>
    <col min="9" max="9" width="12.140625" customWidth="1"/>
    <col min="10" max="10" width="11.85546875" customWidth="1"/>
    <col min="11" max="11" width="11.28515625" customWidth="1"/>
    <col min="12" max="12" width="15.85546875" customWidth="1"/>
    <col min="13" max="14" width="13.28515625" customWidth="1"/>
    <col min="16" max="16" width="13.42578125" customWidth="1"/>
  </cols>
  <sheetData>
    <row r="1" spans="1:16" s="2" customFormat="1" x14ac:dyDescent="0.25">
      <c r="A1" s="2" t="s">
        <v>0</v>
      </c>
      <c r="B1" s="2" t="s">
        <v>1</v>
      </c>
      <c r="C1" s="2" t="s">
        <v>120</v>
      </c>
      <c r="D1" s="2" t="s">
        <v>2</v>
      </c>
      <c r="E1" s="2" t="s">
        <v>3</v>
      </c>
      <c r="F1" s="2" t="s">
        <v>4</v>
      </c>
      <c r="G1" s="2" t="s">
        <v>5</v>
      </c>
      <c r="H1" s="2" t="s">
        <v>6</v>
      </c>
      <c r="I1" s="2" t="s">
        <v>7</v>
      </c>
      <c r="J1" s="2" t="s">
        <v>8</v>
      </c>
      <c r="K1" s="2" t="s">
        <v>9</v>
      </c>
      <c r="L1" s="2" t="s">
        <v>10</v>
      </c>
      <c r="M1" s="2" t="s">
        <v>11</v>
      </c>
      <c r="N1" s="2" t="s">
        <v>12</v>
      </c>
    </row>
    <row r="2" spans="1:16" x14ac:dyDescent="0.25">
      <c r="A2" t="s">
        <v>13</v>
      </c>
      <c r="B2" t="s">
        <v>14</v>
      </c>
      <c r="C2" t="s">
        <v>15</v>
      </c>
      <c r="D2" t="s">
        <v>16</v>
      </c>
      <c r="E2" t="s">
        <v>17</v>
      </c>
      <c r="F2" s="1">
        <v>40326</v>
      </c>
      <c r="G2">
        <v>669165933</v>
      </c>
      <c r="H2" s="1">
        <v>40356</v>
      </c>
      <c r="I2" s="3">
        <v>9925</v>
      </c>
      <c r="J2" s="3">
        <v>255.28</v>
      </c>
      <c r="K2" s="3">
        <v>159.41999999999999</v>
      </c>
      <c r="L2" s="3">
        <v>2533654</v>
      </c>
      <c r="M2" s="3">
        <v>1582243.5</v>
      </c>
      <c r="N2" s="3">
        <v>951410.5</v>
      </c>
      <c r="P2" s="5" t="s">
        <v>114</v>
      </c>
    </row>
    <row r="3" spans="1:16" x14ac:dyDescent="0.25">
      <c r="A3" t="s">
        <v>18</v>
      </c>
      <c r="B3" t="s">
        <v>19</v>
      </c>
      <c r="C3" t="s">
        <v>20</v>
      </c>
      <c r="D3" t="s">
        <v>21</v>
      </c>
      <c r="E3" t="s">
        <v>22</v>
      </c>
      <c r="F3" s="1">
        <v>41143</v>
      </c>
      <c r="G3">
        <v>963881480</v>
      </c>
      <c r="H3" s="1">
        <v>41167</v>
      </c>
      <c r="I3" s="3">
        <v>2804</v>
      </c>
      <c r="J3" s="3">
        <v>205.7</v>
      </c>
      <c r="K3" s="3">
        <v>117.11</v>
      </c>
      <c r="L3" s="3">
        <v>576782.80000000005</v>
      </c>
      <c r="M3" s="3">
        <v>328376.44</v>
      </c>
      <c r="N3" s="3">
        <v>248406.36</v>
      </c>
      <c r="P3" s="6">
        <f>SUM(L2:L101)</f>
        <v>137348768.30999997</v>
      </c>
    </row>
    <row r="4" spans="1:16" x14ac:dyDescent="0.25">
      <c r="A4" t="s">
        <v>23</v>
      </c>
      <c r="B4" t="s">
        <v>24</v>
      </c>
      <c r="C4" t="s">
        <v>25</v>
      </c>
      <c r="D4" t="s">
        <v>16</v>
      </c>
      <c r="E4" t="s">
        <v>26</v>
      </c>
      <c r="F4" s="1">
        <v>41761</v>
      </c>
      <c r="G4">
        <v>341417157</v>
      </c>
      <c r="H4" s="1">
        <v>41767</v>
      </c>
      <c r="I4" s="3">
        <v>1779</v>
      </c>
      <c r="J4" s="3">
        <v>651.21</v>
      </c>
      <c r="K4" s="3">
        <v>524.96</v>
      </c>
      <c r="L4" s="3">
        <v>1158502.5900000001</v>
      </c>
      <c r="M4" s="3">
        <v>933903.84</v>
      </c>
      <c r="N4" s="3">
        <v>224598.75</v>
      </c>
    </row>
    <row r="5" spans="1:16" x14ac:dyDescent="0.25">
      <c r="A5" t="s">
        <v>27</v>
      </c>
      <c r="B5" t="s">
        <v>28</v>
      </c>
      <c r="C5" t="s">
        <v>29</v>
      </c>
      <c r="D5" t="s">
        <v>21</v>
      </c>
      <c r="E5" t="s">
        <v>22</v>
      </c>
      <c r="F5" s="1">
        <v>41810</v>
      </c>
      <c r="G5">
        <v>514321792</v>
      </c>
      <c r="H5" s="1">
        <v>41825</v>
      </c>
      <c r="I5" s="3">
        <v>8102</v>
      </c>
      <c r="J5" s="3">
        <v>9.33</v>
      </c>
      <c r="K5" s="3">
        <v>6.92</v>
      </c>
      <c r="L5" s="3">
        <v>75591.66</v>
      </c>
      <c r="M5" s="3">
        <v>56065.84</v>
      </c>
      <c r="N5" s="3">
        <v>19525.82</v>
      </c>
      <c r="P5" s="4" t="s">
        <v>115</v>
      </c>
    </row>
    <row r="6" spans="1:16" x14ac:dyDescent="0.25">
      <c r="A6" t="s">
        <v>27</v>
      </c>
      <c r="B6" t="s">
        <v>30</v>
      </c>
      <c r="C6" t="s">
        <v>25</v>
      </c>
      <c r="D6" t="s">
        <v>16</v>
      </c>
      <c r="E6" t="s">
        <v>26</v>
      </c>
      <c r="F6" s="1">
        <v>41306</v>
      </c>
      <c r="G6">
        <v>115456712</v>
      </c>
      <c r="H6" s="1">
        <v>41311</v>
      </c>
      <c r="I6" s="3">
        <v>5062</v>
      </c>
      <c r="J6" s="3">
        <v>651.21</v>
      </c>
      <c r="K6" s="3">
        <v>524.96</v>
      </c>
      <c r="L6" s="3">
        <v>3296425.02</v>
      </c>
      <c r="M6" s="3">
        <v>2657347.52</v>
      </c>
      <c r="N6" s="3">
        <v>639077.5</v>
      </c>
      <c r="P6" s="6">
        <f>SUM(I2:I101)</f>
        <v>512871</v>
      </c>
    </row>
    <row r="7" spans="1:16" x14ac:dyDescent="0.25">
      <c r="A7" t="s">
        <v>13</v>
      </c>
      <c r="B7" t="s">
        <v>31</v>
      </c>
      <c r="C7" t="s">
        <v>15</v>
      </c>
      <c r="D7" t="s">
        <v>21</v>
      </c>
      <c r="E7" t="s">
        <v>22</v>
      </c>
      <c r="F7" s="1">
        <v>42039</v>
      </c>
      <c r="G7">
        <v>547995746</v>
      </c>
      <c r="H7" s="1">
        <v>42056</v>
      </c>
      <c r="I7" s="3">
        <v>2974</v>
      </c>
      <c r="J7" s="3">
        <v>255.28</v>
      </c>
      <c r="K7" s="3">
        <v>159.41999999999999</v>
      </c>
      <c r="L7" s="3">
        <v>759202.72</v>
      </c>
      <c r="M7" s="3">
        <v>474115.08</v>
      </c>
      <c r="N7" s="3">
        <v>285087.64</v>
      </c>
    </row>
    <row r="8" spans="1:16" x14ac:dyDescent="0.25">
      <c r="A8" t="s">
        <v>27</v>
      </c>
      <c r="B8" t="s">
        <v>32</v>
      </c>
      <c r="C8" t="s">
        <v>33</v>
      </c>
      <c r="D8" t="s">
        <v>16</v>
      </c>
      <c r="E8" t="s">
        <v>34</v>
      </c>
      <c r="F8" s="1">
        <v>40656</v>
      </c>
      <c r="G8">
        <v>135425221</v>
      </c>
      <c r="H8" s="1">
        <v>40660</v>
      </c>
      <c r="I8" s="3">
        <v>4187</v>
      </c>
      <c r="J8" s="3">
        <v>668.27</v>
      </c>
      <c r="K8" s="3">
        <v>502.54</v>
      </c>
      <c r="L8" s="3">
        <v>2798046.49</v>
      </c>
      <c r="M8" s="3">
        <v>2104134.98</v>
      </c>
      <c r="N8" s="3">
        <v>693911.51</v>
      </c>
      <c r="P8" s="2" t="s">
        <v>12</v>
      </c>
    </row>
    <row r="9" spans="1:16" x14ac:dyDescent="0.25">
      <c r="A9" t="s">
        <v>27</v>
      </c>
      <c r="B9" t="s">
        <v>35</v>
      </c>
      <c r="C9" t="s">
        <v>36</v>
      </c>
      <c r="D9" t="s">
        <v>21</v>
      </c>
      <c r="E9" t="s">
        <v>17</v>
      </c>
      <c r="F9" s="1">
        <v>41107</v>
      </c>
      <c r="G9">
        <v>871543967</v>
      </c>
      <c r="H9" s="1">
        <v>41117</v>
      </c>
      <c r="I9" s="3">
        <v>8082</v>
      </c>
      <c r="J9" s="3">
        <v>154.06</v>
      </c>
      <c r="K9" s="3">
        <v>90.93</v>
      </c>
      <c r="L9" s="3">
        <v>1245112.92</v>
      </c>
      <c r="M9" s="3">
        <v>734896.26</v>
      </c>
      <c r="N9" s="3">
        <v>510216.66</v>
      </c>
      <c r="P9" s="6">
        <f>SUM(N2:N101)</f>
        <v>44168198.399999991</v>
      </c>
    </row>
    <row r="10" spans="1:16" x14ac:dyDescent="0.25">
      <c r="A10" t="s">
        <v>27</v>
      </c>
      <c r="B10" t="s">
        <v>37</v>
      </c>
      <c r="C10" t="s">
        <v>38</v>
      </c>
      <c r="D10" t="s">
        <v>16</v>
      </c>
      <c r="E10" t="s">
        <v>34</v>
      </c>
      <c r="F10" s="1">
        <v>42199</v>
      </c>
      <c r="G10">
        <v>770463311</v>
      </c>
      <c r="H10" s="1">
        <v>42241</v>
      </c>
      <c r="I10" s="3">
        <v>6070</v>
      </c>
      <c r="J10" s="3">
        <v>81.73</v>
      </c>
      <c r="K10" s="3">
        <v>56.67</v>
      </c>
      <c r="L10" s="3">
        <v>496101.1</v>
      </c>
      <c r="M10" s="3">
        <v>343986.9</v>
      </c>
      <c r="N10" s="3">
        <v>152114.20000000001</v>
      </c>
    </row>
    <row r="11" spans="1:16" x14ac:dyDescent="0.25">
      <c r="A11" t="s">
        <v>27</v>
      </c>
      <c r="B11" t="s">
        <v>39</v>
      </c>
      <c r="C11" t="s">
        <v>20</v>
      </c>
      <c r="D11" t="s">
        <v>21</v>
      </c>
      <c r="E11" t="s">
        <v>17</v>
      </c>
      <c r="F11" s="1">
        <v>41747</v>
      </c>
      <c r="G11">
        <v>616607081</v>
      </c>
      <c r="H11" s="1">
        <v>41789</v>
      </c>
      <c r="I11" s="3">
        <v>6593</v>
      </c>
      <c r="J11" s="3">
        <v>205.7</v>
      </c>
      <c r="K11" s="3">
        <v>117.11</v>
      </c>
      <c r="L11" s="3">
        <v>1356180.1</v>
      </c>
      <c r="M11" s="3">
        <v>772106.23</v>
      </c>
      <c r="N11" s="3">
        <v>584073.87</v>
      </c>
      <c r="P11" s="2" t="s">
        <v>116</v>
      </c>
    </row>
    <row r="12" spans="1:16" x14ac:dyDescent="0.25">
      <c r="A12" t="s">
        <v>40</v>
      </c>
      <c r="B12" t="s">
        <v>41</v>
      </c>
      <c r="C12" t="s">
        <v>36</v>
      </c>
      <c r="D12" t="s">
        <v>21</v>
      </c>
      <c r="E12" t="s">
        <v>17</v>
      </c>
      <c r="F12" s="1">
        <v>40718</v>
      </c>
      <c r="G12">
        <v>814711606</v>
      </c>
      <c r="H12" s="1">
        <v>40736</v>
      </c>
      <c r="I12" s="3">
        <v>124</v>
      </c>
      <c r="J12" s="3">
        <v>154.06</v>
      </c>
      <c r="K12" s="3">
        <v>90.93</v>
      </c>
      <c r="L12" s="3">
        <v>19103.439999999999</v>
      </c>
      <c r="M12" s="3">
        <v>11275.32</v>
      </c>
      <c r="N12" s="3">
        <v>7828.12</v>
      </c>
      <c r="P12" s="6">
        <f>AVERAGE(L2:L101)</f>
        <v>1373487.6830999998</v>
      </c>
    </row>
    <row r="13" spans="1:16" x14ac:dyDescent="0.25">
      <c r="A13" t="s">
        <v>27</v>
      </c>
      <c r="B13" t="s">
        <v>42</v>
      </c>
      <c r="C13" t="s">
        <v>43</v>
      </c>
      <c r="D13" t="s">
        <v>16</v>
      </c>
      <c r="E13" t="s">
        <v>17</v>
      </c>
      <c r="F13" s="1">
        <v>41853</v>
      </c>
      <c r="G13">
        <v>939825713</v>
      </c>
      <c r="H13" s="1">
        <v>41870</v>
      </c>
      <c r="I13" s="3">
        <v>4168</v>
      </c>
      <c r="J13" s="3">
        <v>109.28</v>
      </c>
      <c r="K13" s="3">
        <v>35.840000000000003</v>
      </c>
      <c r="L13" s="3">
        <v>455479.03999999998</v>
      </c>
      <c r="M13" s="3">
        <v>149381.12</v>
      </c>
      <c r="N13" s="3">
        <v>306097.91999999998</v>
      </c>
    </row>
    <row r="14" spans="1:16" x14ac:dyDescent="0.25">
      <c r="A14" t="s">
        <v>40</v>
      </c>
      <c r="B14" t="s">
        <v>44</v>
      </c>
      <c r="C14" t="s">
        <v>43</v>
      </c>
      <c r="D14" t="s">
        <v>21</v>
      </c>
      <c r="E14" t="s">
        <v>26</v>
      </c>
      <c r="F14" s="1">
        <v>42748</v>
      </c>
      <c r="G14">
        <v>187310731</v>
      </c>
      <c r="H14" s="1">
        <v>42795</v>
      </c>
      <c r="I14" s="3">
        <v>8263</v>
      </c>
      <c r="J14" s="3">
        <v>109.28</v>
      </c>
      <c r="K14" s="3">
        <v>35.840000000000003</v>
      </c>
      <c r="L14" s="3">
        <v>902980.64</v>
      </c>
      <c r="M14" s="3">
        <v>296145.91999999998</v>
      </c>
      <c r="N14" s="3">
        <v>606834.72</v>
      </c>
    </row>
    <row r="15" spans="1:16" x14ac:dyDescent="0.25">
      <c r="A15" t="s">
        <v>18</v>
      </c>
      <c r="B15" t="s">
        <v>45</v>
      </c>
      <c r="C15" t="s">
        <v>33</v>
      </c>
      <c r="D15" t="s">
        <v>16</v>
      </c>
      <c r="E15" t="s">
        <v>17</v>
      </c>
      <c r="F15" s="1">
        <v>42774</v>
      </c>
      <c r="G15">
        <v>522840487</v>
      </c>
      <c r="H15" s="1">
        <v>42779</v>
      </c>
      <c r="I15" s="3">
        <v>8974</v>
      </c>
      <c r="J15" s="3">
        <v>668.27</v>
      </c>
      <c r="K15" s="3">
        <v>502.54</v>
      </c>
      <c r="L15" s="3">
        <v>5997054.9800000004</v>
      </c>
      <c r="M15" s="3">
        <v>4509793.96</v>
      </c>
      <c r="N15" s="3">
        <v>1487261.02</v>
      </c>
    </row>
    <row r="16" spans="1:16" x14ac:dyDescent="0.25">
      <c r="A16" t="s">
        <v>40</v>
      </c>
      <c r="B16" t="s">
        <v>46</v>
      </c>
      <c r="C16" t="s">
        <v>38</v>
      </c>
      <c r="D16" t="s">
        <v>16</v>
      </c>
      <c r="E16" t="s">
        <v>22</v>
      </c>
      <c r="F16" s="1">
        <v>41689</v>
      </c>
      <c r="G16">
        <v>832401311</v>
      </c>
      <c r="H16" s="1">
        <v>41693</v>
      </c>
      <c r="I16" s="3">
        <v>4901</v>
      </c>
      <c r="J16" s="3">
        <v>81.73</v>
      </c>
      <c r="K16" s="3">
        <v>56.67</v>
      </c>
      <c r="L16" s="3">
        <v>400558.73</v>
      </c>
      <c r="M16" s="3">
        <v>277739.67</v>
      </c>
      <c r="N16" s="3">
        <v>122819.06</v>
      </c>
    </row>
    <row r="17" spans="1:14" x14ac:dyDescent="0.25">
      <c r="A17" t="s">
        <v>23</v>
      </c>
      <c r="B17" t="s">
        <v>47</v>
      </c>
      <c r="C17" t="s">
        <v>43</v>
      </c>
      <c r="D17" t="s">
        <v>21</v>
      </c>
      <c r="E17" t="s">
        <v>34</v>
      </c>
      <c r="F17" s="1">
        <v>41022</v>
      </c>
      <c r="G17">
        <v>972292029</v>
      </c>
      <c r="H17" s="1">
        <v>41063</v>
      </c>
      <c r="I17" s="3">
        <v>1673</v>
      </c>
      <c r="J17" s="3">
        <v>109.28</v>
      </c>
      <c r="K17" s="3">
        <v>35.840000000000003</v>
      </c>
      <c r="L17" s="3">
        <v>182825.44</v>
      </c>
      <c r="M17" s="3">
        <v>59960.32</v>
      </c>
      <c r="N17" s="3">
        <v>122865.12</v>
      </c>
    </row>
    <row r="18" spans="1:14" x14ac:dyDescent="0.25">
      <c r="A18" t="s">
        <v>40</v>
      </c>
      <c r="B18" t="s">
        <v>48</v>
      </c>
      <c r="C18" t="s">
        <v>49</v>
      </c>
      <c r="D18" t="s">
        <v>16</v>
      </c>
      <c r="E18" t="s">
        <v>34</v>
      </c>
      <c r="F18" s="1">
        <v>42693</v>
      </c>
      <c r="G18">
        <v>419123971</v>
      </c>
      <c r="H18" s="1">
        <v>42722</v>
      </c>
      <c r="I18" s="3">
        <v>6952</v>
      </c>
      <c r="J18" s="3">
        <v>437.2</v>
      </c>
      <c r="K18" s="3">
        <v>263.33</v>
      </c>
      <c r="L18" s="3">
        <v>3039414.4</v>
      </c>
      <c r="M18" s="3">
        <v>1830670.16</v>
      </c>
      <c r="N18" s="3">
        <v>1208744.24</v>
      </c>
    </row>
    <row r="19" spans="1:14" x14ac:dyDescent="0.25">
      <c r="A19" t="s">
        <v>27</v>
      </c>
      <c r="B19" t="s">
        <v>50</v>
      </c>
      <c r="C19" t="s">
        <v>51</v>
      </c>
      <c r="D19" t="s">
        <v>16</v>
      </c>
      <c r="E19" t="s">
        <v>22</v>
      </c>
      <c r="F19" s="1">
        <v>42095</v>
      </c>
      <c r="G19">
        <v>519820964</v>
      </c>
      <c r="H19" s="1">
        <v>42112</v>
      </c>
      <c r="I19" s="3">
        <v>5430</v>
      </c>
      <c r="J19" s="3">
        <v>47.45</v>
      </c>
      <c r="K19" s="3">
        <v>31.79</v>
      </c>
      <c r="L19" s="3">
        <v>257653.5</v>
      </c>
      <c r="M19" s="3">
        <v>172619.7</v>
      </c>
      <c r="N19" s="3">
        <v>85033.8</v>
      </c>
    </row>
    <row r="20" spans="1:14" x14ac:dyDescent="0.25">
      <c r="A20" t="s">
        <v>40</v>
      </c>
      <c r="B20" t="s">
        <v>52</v>
      </c>
      <c r="C20" t="s">
        <v>33</v>
      </c>
      <c r="D20" t="s">
        <v>16</v>
      </c>
      <c r="E20" t="s">
        <v>26</v>
      </c>
      <c r="F20" s="1">
        <v>40542</v>
      </c>
      <c r="G20">
        <v>441619336</v>
      </c>
      <c r="H20" s="1">
        <v>40563</v>
      </c>
      <c r="I20" s="3">
        <v>3830</v>
      </c>
      <c r="J20" s="3">
        <v>668.27</v>
      </c>
      <c r="K20" s="3">
        <v>502.54</v>
      </c>
      <c r="L20" s="3">
        <v>2559474.1</v>
      </c>
      <c r="M20" s="3">
        <v>1924728.2</v>
      </c>
      <c r="N20" s="3">
        <v>634745.9</v>
      </c>
    </row>
    <row r="21" spans="1:14" x14ac:dyDescent="0.25">
      <c r="A21" t="s">
        <v>13</v>
      </c>
      <c r="B21" t="s">
        <v>53</v>
      </c>
      <c r="C21" t="s">
        <v>54</v>
      </c>
      <c r="D21" t="s">
        <v>21</v>
      </c>
      <c r="E21" t="s">
        <v>26</v>
      </c>
      <c r="F21" s="1">
        <v>41121</v>
      </c>
      <c r="G21">
        <v>322067916</v>
      </c>
      <c r="H21" s="1">
        <v>41163</v>
      </c>
      <c r="I21" s="3">
        <v>5908</v>
      </c>
      <c r="J21" s="3">
        <v>421.89</v>
      </c>
      <c r="K21" s="3">
        <v>364.69</v>
      </c>
      <c r="L21" s="3">
        <v>2492526.12</v>
      </c>
      <c r="M21" s="3">
        <v>2154588.52</v>
      </c>
      <c r="N21" s="3">
        <v>337937.6</v>
      </c>
    </row>
    <row r="22" spans="1:14" x14ac:dyDescent="0.25">
      <c r="A22" t="s">
        <v>23</v>
      </c>
      <c r="B22" t="s">
        <v>55</v>
      </c>
      <c r="C22" t="s">
        <v>15</v>
      </c>
      <c r="D22" t="s">
        <v>21</v>
      </c>
      <c r="E22" t="s">
        <v>26</v>
      </c>
      <c r="F22" s="1">
        <v>41773</v>
      </c>
      <c r="G22">
        <v>819028031</v>
      </c>
      <c r="H22" s="1">
        <v>41818</v>
      </c>
      <c r="I22" s="3">
        <v>7450</v>
      </c>
      <c r="J22" s="3">
        <v>255.28</v>
      </c>
      <c r="K22" s="3">
        <v>159.41999999999999</v>
      </c>
      <c r="L22" s="3">
        <v>1901836</v>
      </c>
      <c r="M22" s="3">
        <v>1187679</v>
      </c>
      <c r="N22" s="3">
        <v>714157</v>
      </c>
    </row>
    <row r="23" spans="1:14" x14ac:dyDescent="0.25">
      <c r="A23" t="s">
        <v>23</v>
      </c>
      <c r="B23" t="s">
        <v>56</v>
      </c>
      <c r="C23" t="s">
        <v>15</v>
      </c>
      <c r="D23" t="s">
        <v>21</v>
      </c>
      <c r="E23" t="s">
        <v>17</v>
      </c>
      <c r="F23" s="1">
        <v>42216</v>
      </c>
      <c r="G23">
        <v>860673511</v>
      </c>
      <c r="H23" s="1">
        <v>42250</v>
      </c>
      <c r="I23" s="3">
        <v>1273</v>
      </c>
      <c r="J23" s="3">
        <v>255.28</v>
      </c>
      <c r="K23" s="3">
        <v>159.41999999999999</v>
      </c>
      <c r="L23" s="3">
        <v>324971.44</v>
      </c>
      <c r="M23" s="3">
        <v>202941.66</v>
      </c>
      <c r="N23" s="3">
        <v>122029.78</v>
      </c>
    </row>
    <row r="24" spans="1:14" x14ac:dyDescent="0.25">
      <c r="A24" t="s">
        <v>18</v>
      </c>
      <c r="B24" t="s">
        <v>45</v>
      </c>
      <c r="C24" t="s">
        <v>57</v>
      </c>
      <c r="D24" t="s">
        <v>21</v>
      </c>
      <c r="E24" t="s">
        <v>26</v>
      </c>
      <c r="F24" s="1">
        <v>42551</v>
      </c>
      <c r="G24">
        <v>795490682</v>
      </c>
      <c r="H24" s="1">
        <v>42577</v>
      </c>
      <c r="I24" s="3">
        <v>2225</v>
      </c>
      <c r="J24" s="3">
        <v>152.58000000000001</v>
      </c>
      <c r="K24" s="3">
        <v>97.44</v>
      </c>
      <c r="L24" s="3">
        <v>339490.5</v>
      </c>
      <c r="M24" s="3">
        <v>216804</v>
      </c>
      <c r="N24" s="3">
        <v>122686.5</v>
      </c>
    </row>
    <row r="25" spans="1:14" x14ac:dyDescent="0.25">
      <c r="A25" t="s">
        <v>13</v>
      </c>
      <c r="B25" t="s">
        <v>58</v>
      </c>
      <c r="C25" t="s">
        <v>29</v>
      </c>
      <c r="D25" t="s">
        <v>21</v>
      </c>
      <c r="E25" t="s">
        <v>17</v>
      </c>
      <c r="F25" s="1">
        <v>41890</v>
      </c>
      <c r="G25">
        <v>142278373</v>
      </c>
      <c r="H25" s="1">
        <v>41916</v>
      </c>
      <c r="I25" s="3">
        <v>2187</v>
      </c>
      <c r="J25" s="3">
        <v>9.33</v>
      </c>
      <c r="K25" s="3">
        <v>6.92</v>
      </c>
      <c r="L25" s="3">
        <v>20404.71</v>
      </c>
      <c r="M25" s="3">
        <v>15134.04</v>
      </c>
      <c r="N25" s="3">
        <v>5270.67</v>
      </c>
    </row>
    <row r="26" spans="1:14" x14ac:dyDescent="0.25">
      <c r="A26" t="s">
        <v>23</v>
      </c>
      <c r="B26" t="s">
        <v>59</v>
      </c>
      <c r="C26" t="s">
        <v>38</v>
      </c>
      <c r="D26" t="s">
        <v>21</v>
      </c>
      <c r="E26" t="s">
        <v>26</v>
      </c>
      <c r="F26" s="1">
        <v>42497</v>
      </c>
      <c r="G26">
        <v>740147912</v>
      </c>
      <c r="H26" s="1">
        <v>42500</v>
      </c>
      <c r="I26" s="3">
        <v>5070</v>
      </c>
      <c r="J26" s="3">
        <v>81.73</v>
      </c>
      <c r="K26" s="3">
        <v>56.67</v>
      </c>
      <c r="L26" s="3">
        <v>414371.1</v>
      </c>
      <c r="M26" s="3">
        <v>287316.90000000002</v>
      </c>
      <c r="N26" s="3">
        <v>127054.2</v>
      </c>
    </row>
    <row r="27" spans="1:14" x14ac:dyDescent="0.25">
      <c r="A27" t="s">
        <v>23</v>
      </c>
      <c r="B27" t="s">
        <v>60</v>
      </c>
      <c r="C27" t="s">
        <v>49</v>
      </c>
      <c r="D27" t="s">
        <v>21</v>
      </c>
      <c r="E27" t="s">
        <v>17</v>
      </c>
      <c r="F27" s="1">
        <v>42877</v>
      </c>
      <c r="G27">
        <v>898523128</v>
      </c>
      <c r="H27" s="1">
        <v>42891</v>
      </c>
      <c r="I27" s="3">
        <v>1815</v>
      </c>
      <c r="J27" s="3">
        <v>437.2</v>
      </c>
      <c r="K27" s="3">
        <v>263.33</v>
      </c>
      <c r="L27" s="3">
        <v>793518</v>
      </c>
      <c r="M27" s="3">
        <v>477943.95</v>
      </c>
      <c r="N27" s="3">
        <v>315574.05</v>
      </c>
    </row>
    <row r="28" spans="1:14" x14ac:dyDescent="0.25">
      <c r="A28" t="s">
        <v>13</v>
      </c>
      <c r="B28" t="s">
        <v>61</v>
      </c>
      <c r="C28" t="s">
        <v>29</v>
      </c>
      <c r="D28" t="s">
        <v>21</v>
      </c>
      <c r="E28" t="s">
        <v>34</v>
      </c>
      <c r="F28" s="1">
        <v>41925</v>
      </c>
      <c r="G28">
        <v>347140347</v>
      </c>
      <c r="H28" s="1">
        <v>41953</v>
      </c>
      <c r="I28" s="3">
        <v>5398</v>
      </c>
      <c r="J28" s="3">
        <v>9.33</v>
      </c>
      <c r="K28" s="3">
        <v>6.92</v>
      </c>
      <c r="L28" s="3">
        <v>50363.34</v>
      </c>
      <c r="M28" s="3">
        <v>37354.160000000003</v>
      </c>
      <c r="N28" s="3">
        <v>13009.18</v>
      </c>
    </row>
    <row r="29" spans="1:14" x14ac:dyDescent="0.25">
      <c r="A29" t="s">
        <v>27</v>
      </c>
      <c r="B29" t="s">
        <v>62</v>
      </c>
      <c r="C29" t="s">
        <v>29</v>
      </c>
      <c r="D29" t="s">
        <v>21</v>
      </c>
      <c r="E29" t="s">
        <v>26</v>
      </c>
      <c r="F29" s="1">
        <v>40305</v>
      </c>
      <c r="G29">
        <v>686048400</v>
      </c>
      <c r="H29" s="1">
        <v>40308</v>
      </c>
      <c r="I29" s="3">
        <v>5822</v>
      </c>
      <c r="J29" s="3">
        <v>9.33</v>
      </c>
      <c r="K29" s="3">
        <v>6.92</v>
      </c>
      <c r="L29" s="3">
        <v>54319.26</v>
      </c>
      <c r="M29" s="3">
        <v>40288.239999999998</v>
      </c>
      <c r="N29" s="3">
        <v>14031.02</v>
      </c>
    </row>
    <row r="30" spans="1:14" x14ac:dyDescent="0.25">
      <c r="A30" t="s">
        <v>23</v>
      </c>
      <c r="B30" t="s">
        <v>55</v>
      </c>
      <c r="C30" t="s">
        <v>51</v>
      </c>
      <c r="D30" t="s">
        <v>16</v>
      </c>
      <c r="E30" t="s">
        <v>22</v>
      </c>
      <c r="F30" s="1">
        <v>41838</v>
      </c>
      <c r="G30">
        <v>435608613</v>
      </c>
      <c r="H30" s="1">
        <v>41850</v>
      </c>
      <c r="I30" s="3">
        <v>5124</v>
      </c>
      <c r="J30" s="3">
        <v>47.45</v>
      </c>
      <c r="K30" s="3">
        <v>31.79</v>
      </c>
      <c r="L30" s="3">
        <v>243133.8</v>
      </c>
      <c r="M30" s="3">
        <v>162891.96</v>
      </c>
      <c r="N30" s="3">
        <v>80241.84</v>
      </c>
    </row>
    <row r="31" spans="1:14" x14ac:dyDescent="0.25">
      <c r="A31" t="s">
        <v>27</v>
      </c>
      <c r="B31" t="s">
        <v>63</v>
      </c>
      <c r="C31" t="s">
        <v>33</v>
      </c>
      <c r="D31" t="s">
        <v>16</v>
      </c>
      <c r="E31" t="s">
        <v>26</v>
      </c>
      <c r="F31" s="1">
        <v>41055</v>
      </c>
      <c r="G31">
        <v>886494815</v>
      </c>
      <c r="H31" s="1">
        <v>41069</v>
      </c>
      <c r="I31" s="3">
        <v>2370</v>
      </c>
      <c r="J31" s="3">
        <v>668.27</v>
      </c>
      <c r="K31" s="3">
        <v>502.54</v>
      </c>
      <c r="L31" s="3">
        <v>1583799.9</v>
      </c>
      <c r="M31" s="3">
        <v>1191019.8</v>
      </c>
      <c r="N31" s="3">
        <v>392780.1</v>
      </c>
    </row>
    <row r="32" spans="1:14" x14ac:dyDescent="0.25">
      <c r="A32" t="s">
        <v>23</v>
      </c>
      <c r="B32" t="s">
        <v>64</v>
      </c>
      <c r="C32" t="s">
        <v>49</v>
      </c>
      <c r="D32" t="s">
        <v>16</v>
      </c>
      <c r="E32" t="s">
        <v>34</v>
      </c>
      <c r="F32" s="1">
        <v>41169</v>
      </c>
      <c r="G32">
        <v>249693334</v>
      </c>
      <c r="H32" s="1">
        <v>41202</v>
      </c>
      <c r="I32" s="3">
        <v>8661</v>
      </c>
      <c r="J32" s="3">
        <v>437.2</v>
      </c>
      <c r="K32" s="3">
        <v>263.33</v>
      </c>
      <c r="L32" s="3">
        <v>3786589.2</v>
      </c>
      <c r="M32" s="3">
        <v>2280701.13</v>
      </c>
      <c r="N32" s="3">
        <v>1505888.07</v>
      </c>
    </row>
    <row r="33" spans="1:14" x14ac:dyDescent="0.25">
      <c r="A33" t="s">
        <v>27</v>
      </c>
      <c r="B33" t="s">
        <v>65</v>
      </c>
      <c r="C33" t="s">
        <v>38</v>
      </c>
      <c r="D33" t="s">
        <v>16</v>
      </c>
      <c r="E33" t="s">
        <v>22</v>
      </c>
      <c r="F33" s="1">
        <v>41637</v>
      </c>
      <c r="G33">
        <v>406502997</v>
      </c>
      <c r="H33" s="1">
        <v>41667</v>
      </c>
      <c r="I33" s="3">
        <v>2125</v>
      </c>
      <c r="J33" s="3">
        <v>81.73</v>
      </c>
      <c r="K33" s="3">
        <v>56.67</v>
      </c>
      <c r="L33" s="3">
        <v>173676.25</v>
      </c>
      <c r="M33" s="3">
        <v>120423.75</v>
      </c>
      <c r="N33" s="3">
        <v>53252.5</v>
      </c>
    </row>
    <row r="34" spans="1:14" x14ac:dyDescent="0.25">
      <c r="A34" t="s">
        <v>13</v>
      </c>
      <c r="B34" t="s">
        <v>66</v>
      </c>
      <c r="C34" t="s">
        <v>25</v>
      </c>
      <c r="D34" t="s">
        <v>21</v>
      </c>
      <c r="E34" t="s">
        <v>22</v>
      </c>
      <c r="F34" s="1">
        <v>42304</v>
      </c>
      <c r="G34">
        <v>158535134</v>
      </c>
      <c r="H34" s="1">
        <v>42333</v>
      </c>
      <c r="I34" s="3">
        <v>2924</v>
      </c>
      <c r="J34" s="3">
        <v>651.21</v>
      </c>
      <c r="K34" s="3">
        <v>524.96</v>
      </c>
      <c r="L34" s="3">
        <v>1904138.04</v>
      </c>
      <c r="M34" s="3">
        <v>1534983.04</v>
      </c>
      <c r="N34" s="3">
        <v>369155</v>
      </c>
    </row>
    <row r="35" spans="1:14" x14ac:dyDescent="0.25">
      <c r="A35" t="s">
        <v>40</v>
      </c>
      <c r="B35" t="s">
        <v>67</v>
      </c>
      <c r="C35" t="s">
        <v>33</v>
      </c>
      <c r="D35" t="s">
        <v>16</v>
      </c>
      <c r="E35" t="s">
        <v>17</v>
      </c>
      <c r="F35" s="1">
        <v>42020</v>
      </c>
      <c r="G35">
        <v>177713572</v>
      </c>
      <c r="H35" s="1">
        <v>42064</v>
      </c>
      <c r="I35" s="3">
        <v>8250</v>
      </c>
      <c r="J35" s="3">
        <v>668.27</v>
      </c>
      <c r="K35" s="3">
        <v>502.54</v>
      </c>
      <c r="L35" s="3">
        <v>5513227.5</v>
      </c>
      <c r="M35" s="3">
        <v>4145955</v>
      </c>
      <c r="N35" s="3">
        <v>1367272.5</v>
      </c>
    </row>
    <row r="36" spans="1:14" x14ac:dyDescent="0.25">
      <c r="A36" t="s">
        <v>27</v>
      </c>
      <c r="B36" t="s">
        <v>68</v>
      </c>
      <c r="C36" t="s">
        <v>57</v>
      </c>
      <c r="D36" t="s">
        <v>21</v>
      </c>
      <c r="E36" t="s">
        <v>34</v>
      </c>
      <c r="F36" s="1">
        <v>42791</v>
      </c>
      <c r="G36">
        <v>756274640</v>
      </c>
      <c r="H36" s="1">
        <v>42791</v>
      </c>
      <c r="I36" s="3">
        <v>7327</v>
      </c>
      <c r="J36" s="3">
        <v>152.58000000000001</v>
      </c>
      <c r="K36" s="3">
        <v>97.44</v>
      </c>
      <c r="L36" s="3">
        <v>1117953.6599999999</v>
      </c>
      <c r="M36" s="3">
        <v>713942.88</v>
      </c>
      <c r="N36" s="3">
        <v>404010.78</v>
      </c>
    </row>
    <row r="37" spans="1:14" x14ac:dyDescent="0.25">
      <c r="A37" t="s">
        <v>18</v>
      </c>
      <c r="B37" t="s">
        <v>69</v>
      </c>
      <c r="C37" t="s">
        <v>38</v>
      </c>
      <c r="D37" t="s">
        <v>16</v>
      </c>
      <c r="E37" t="s">
        <v>26</v>
      </c>
      <c r="F37" s="1">
        <v>42863</v>
      </c>
      <c r="G37">
        <v>456767165</v>
      </c>
      <c r="H37" s="1">
        <v>42876</v>
      </c>
      <c r="I37" s="3">
        <v>6409</v>
      </c>
      <c r="J37" s="3">
        <v>81.73</v>
      </c>
      <c r="K37" s="3">
        <v>56.67</v>
      </c>
      <c r="L37" s="3">
        <v>523807.57</v>
      </c>
      <c r="M37" s="3">
        <v>363198.03</v>
      </c>
      <c r="N37" s="3">
        <v>160609.54</v>
      </c>
    </row>
    <row r="38" spans="1:14" x14ac:dyDescent="0.25">
      <c r="A38" t="s">
        <v>70</v>
      </c>
      <c r="B38" t="s">
        <v>71</v>
      </c>
      <c r="C38" t="s">
        <v>29</v>
      </c>
      <c r="D38" t="s">
        <v>21</v>
      </c>
      <c r="E38" t="s">
        <v>26</v>
      </c>
      <c r="F38" s="1">
        <v>40869</v>
      </c>
      <c r="G38">
        <v>162052476</v>
      </c>
      <c r="H38" s="1">
        <v>40880</v>
      </c>
      <c r="I38" s="3">
        <v>3784</v>
      </c>
      <c r="J38" s="3">
        <v>9.33</v>
      </c>
      <c r="K38" s="3">
        <v>6.92</v>
      </c>
      <c r="L38" s="3">
        <v>35304.720000000001</v>
      </c>
      <c r="M38" s="3">
        <v>26185.279999999999</v>
      </c>
      <c r="N38" s="3">
        <v>9119.44</v>
      </c>
    </row>
    <row r="39" spans="1:14" x14ac:dyDescent="0.25">
      <c r="A39" t="s">
        <v>27</v>
      </c>
      <c r="B39" t="s">
        <v>63</v>
      </c>
      <c r="C39" t="s">
        <v>54</v>
      </c>
      <c r="D39" t="s">
        <v>21</v>
      </c>
      <c r="E39" t="s">
        <v>34</v>
      </c>
      <c r="F39" s="1">
        <v>42749</v>
      </c>
      <c r="G39">
        <v>825304400</v>
      </c>
      <c r="H39" s="1">
        <v>42758</v>
      </c>
      <c r="I39" s="3">
        <v>4767</v>
      </c>
      <c r="J39" s="3">
        <v>421.89</v>
      </c>
      <c r="K39" s="3">
        <v>364.69</v>
      </c>
      <c r="L39" s="3">
        <v>2011149.63</v>
      </c>
      <c r="M39" s="3">
        <v>1738477.23</v>
      </c>
      <c r="N39" s="3">
        <v>272672.40000000002</v>
      </c>
    </row>
    <row r="40" spans="1:14" x14ac:dyDescent="0.25">
      <c r="A40" t="s">
        <v>40</v>
      </c>
      <c r="B40" t="s">
        <v>72</v>
      </c>
      <c r="C40" t="s">
        <v>25</v>
      </c>
      <c r="D40" t="s">
        <v>21</v>
      </c>
      <c r="E40" t="s">
        <v>26</v>
      </c>
      <c r="F40" s="1">
        <v>41000</v>
      </c>
      <c r="G40">
        <v>320009267</v>
      </c>
      <c r="H40" s="1">
        <v>41037</v>
      </c>
      <c r="I40" s="3">
        <v>6708</v>
      </c>
      <c r="J40" s="3">
        <v>651.21</v>
      </c>
      <c r="K40" s="3">
        <v>524.96</v>
      </c>
      <c r="L40" s="3">
        <v>4368316.68</v>
      </c>
      <c r="M40" s="3">
        <v>3521431.68</v>
      </c>
      <c r="N40" s="3">
        <v>846885</v>
      </c>
    </row>
    <row r="41" spans="1:14" x14ac:dyDescent="0.25">
      <c r="A41" t="s">
        <v>23</v>
      </c>
      <c r="B41" t="s">
        <v>47</v>
      </c>
      <c r="C41" t="s">
        <v>25</v>
      </c>
      <c r="D41" t="s">
        <v>21</v>
      </c>
      <c r="E41" t="s">
        <v>34</v>
      </c>
      <c r="F41" s="1">
        <v>40955</v>
      </c>
      <c r="G41">
        <v>189965903</v>
      </c>
      <c r="H41" s="1">
        <v>40967</v>
      </c>
      <c r="I41" s="3">
        <v>3987</v>
      </c>
      <c r="J41" s="3">
        <v>651.21</v>
      </c>
      <c r="K41" s="3">
        <v>524.96</v>
      </c>
      <c r="L41" s="3">
        <v>2596374.27</v>
      </c>
      <c r="M41" s="3">
        <v>2093015.52</v>
      </c>
      <c r="N41" s="3">
        <v>503358.75</v>
      </c>
    </row>
    <row r="42" spans="1:14" x14ac:dyDescent="0.25">
      <c r="A42" t="s">
        <v>27</v>
      </c>
      <c r="B42" t="s">
        <v>73</v>
      </c>
      <c r="C42" t="s">
        <v>38</v>
      </c>
      <c r="D42" t="s">
        <v>21</v>
      </c>
      <c r="E42" t="s">
        <v>17</v>
      </c>
      <c r="F42" s="1">
        <v>42805</v>
      </c>
      <c r="G42">
        <v>699285638</v>
      </c>
      <c r="H42" s="1">
        <v>42822</v>
      </c>
      <c r="I42" s="3">
        <v>3015</v>
      </c>
      <c r="J42" s="3">
        <v>81.73</v>
      </c>
      <c r="K42" s="3">
        <v>56.67</v>
      </c>
      <c r="L42" s="3">
        <v>246415.95</v>
      </c>
      <c r="M42" s="3">
        <v>170860.05</v>
      </c>
      <c r="N42" s="3">
        <v>75555.899999999994</v>
      </c>
    </row>
    <row r="43" spans="1:14" x14ac:dyDescent="0.25">
      <c r="A43" t="s">
        <v>70</v>
      </c>
      <c r="B43" t="s">
        <v>74</v>
      </c>
      <c r="C43" t="s">
        <v>49</v>
      </c>
      <c r="D43" t="s">
        <v>21</v>
      </c>
      <c r="E43" t="s">
        <v>34</v>
      </c>
      <c r="F43" s="1">
        <v>40215</v>
      </c>
      <c r="G43">
        <v>382392299</v>
      </c>
      <c r="H43" s="1">
        <v>40234</v>
      </c>
      <c r="I43" s="3">
        <v>7234</v>
      </c>
      <c r="J43" s="3">
        <v>437.2</v>
      </c>
      <c r="K43" s="3">
        <v>263.33</v>
      </c>
      <c r="L43" s="3">
        <v>3162704.8</v>
      </c>
      <c r="M43" s="3">
        <v>1904929.22</v>
      </c>
      <c r="N43" s="3">
        <v>1257775.58</v>
      </c>
    </row>
    <row r="44" spans="1:14" x14ac:dyDescent="0.25">
      <c r="A44" t="s">
        <v>27</v>
      </c>
      <c r="B44" t="s">
        <v>63</v>
      </c>
      <c r="C44" t="s">
        <v>20</v>
      </c>
      <c r="D44" t="s">
        <v>16</v>
      </c>
      <c r="E44" t="s">
        <v>17</v>
      </c>
      <c r="F44" s="1">
        <v>41067</v>
      </c>
      <c r="G44">
        <v>994022214</v>
      </c>
      <c r="H44" s="1">
        <v>41068</v>
      </c>
      <c r="I44" s="3">
        <v>2117</v>
      </c>
      <c r="J44" s="3">
        <v>205.7</v>
      </c>
      <c r="K44" s="3">
        <v>117.11</v>
      </c>
      <c r="L44" s="3">
        <v>435466.9</v>
      </c>
      <c r="M44" s="3">
        <v>247921.87</v>
      </c>
      <c r="N44" s="3">
        <v>187545.03</v>
      </c>
    </row>
    <row r="45" spans="1:14" x14ac:dyDescent="0.25">
      <c r="A45" t="s">
        <v>23</v>
      </c>
      <c r="B45" t="s">
        <v>75</v>
      </c>
      <c r="C45" t="s">
        <v>36</v>
      </c>
      <c r="D45" t="s">
        <v>21</v>
      </c>
      <c r="E45" t="s">
        <v>17</v>
      </c>
      <c r="F45" s="1">
        <v>41188</v>
      </c>
      <c r="G45">
        <v>759224212</v>
      </c>
      <c r="H45" s="1">
        <v>41223</v>
      </c>
      <c r="I45" s="3">
        <v>171</v>
      </c>
      <c r="J45" s="3">
        <v>154.06</v>
      </c>
      <c r="K45" s="3">
        <v>90.93</v>
      </c>
      <c r="L45" s="3">
        <v>26344.26</v>
      </c>
      <c r="M45" s="3">
        <v>15549.03</v>
      </c>
      <c r="N45" s="3">
        <v>10795.23</v>
      </c>
    </row>
    <row r="46" spans="1:14" x14ac:dyDescent="0.25">
      <c r="A46" t="s">
        <v>40</v>
      </c>
      <c r="B46" t="s">
        <v>67</v>
      </c>
      <c r="C46" t="s">
        <v>43</v>
      </c>
      <c r="D46" t="s">
        <v>21</v>
      </c>
      <c r="E46" t="s">
        <v>17</v>
      </c>
      <c r="F46" s="1">
        <v>42322</v>
      </c>
      <c r="G46">
        <v>223359620</v>
      </c>
      <c r="H46" s="1">
        <v>42326</v>
      </c>
      <c r="I46" s="3">
        <v>5930</v>
      </c>
      <c r="J46" s="3">
        <v>109.28</v>
      </c>
      <c r="K46" s="3">
        <v>35.840000000000003</v>
      </c>
      <c r="L46" s="3">
        <v>648030.4</v>
      </c>
      <c r="M46" s="3">
        <v>212531.20000000001</v>
      </c>
      <c r="N46" s="3">
        <v>435499.2</v>
      </c>
    </row>
    <row r="47" spans="1:14" x14ac:dyDescent="0.25">
      <c r="A47" t="s">
        <v>27</v>
      </c>
      <c r="B47" t="s">
        <v>76</v>
      </c>
      <c r="C47" t="s">
        <v>20</v>
      </c>
      <c r="D47" t="s">
        <v>16</v>
      </c>
      <c r="E47" t="s">
        <v>17</v>
      </c>
      <c r="F47" s="1">
        <v>42458</v>
      </c>
      <c r="G47">
        <v>902102267</v>
      </c>
      <c r="H47" s="1">
        <v>42489</v>
      </c>
      <c r="I47" s="3">
        <v>962</v>
      </c>
      <c r="J47" s="3">
        <v>205.7</v>
      </c>
      <c r="K47" s="3">
        <v>117.11</v>
      </c>
      <c r="L47" s="3">
        <v>197883.4</v>
      </c>
      <c r="M47" s="3">
        <v>112659.82</v>
      </c>
      <c r="N47" s="3">
        <v>85223.58</v>
      </c>
    </row>
    <row r="48" spans="1:14" x14ac:dyDescent="0.25">
      <c r="A48" t="s">
        <v>23</v>
      </c>
      <c r="B48" t="s">
        <v>77</v>
      </c>
      <c r="C48" t="s">
        <v>49</v>
      </c>
      <c r="D48" t="s">
        <v>21</v>
      </c>
      <c r="E48" t="s">
        <v>22</v>
      </c>
      <c r="F48" s="1">
        <v>42735</v>
      </c>
      <c r="G48">
        <v>331438481</v>
      </c>
      <c r="H48" s="1">
        <v>42735</v>
      </c>
      <c r="I48" s="3">
        <v>8867</v>
      </c>
      <c r="J48" s="3">
        <v>437.2</v>
      </c>
      <c r="K48" s="3">
        <v>263.33</v>
      </c>
      <c r="L48" s="3">
        <v>3876652.4</v>
      </c>
      <c r="M48" s="3">
        <v>2334947.11</v>
      </c>
      <c r="N48" s="3">
        <v>1541705.29</v>
      </c>
    </row>
    <row r="49" spans="1:14" x14ac:dyDescent="0.25">
      <c r="A49" t="s">
        <v>23</v>
      </c>
      <c r="B49" t="s">
        <v>64</v>
      </c>
      <c r="C49" t="s">
        <v>38</v>
      </c>
      <c r="D49" t="s">
        <v>21</v>
      </c>
      <c r="E49" t="s">
        <v>34</v>
      </c>
      <c r="F49" s="1">
        <v>40535</v>
      </c>
      <c r="G49">
        <v>617667090</v>
      </c>
      <c r="H49" s="1">
        <v>40574</v>
      </c>
      <c r="I49" s="3">
        <v>273</v>
      </c>
      <c r="J49" s="3">
        <v>81.73</v>
      </c>
      <c r="K49" s="3">
        <v>56.67</v>
      </c>
      <c r="L49" s="3">
        <v>22312.29</v>
      </c>
      <c r="M49" s="3">
        <v>15470.91</v>
      </c>
      <c r="N49" s="3">
        <v>6841.38</v>
      </c>
    </row>
    <row r="50" spans="1:14" x14ac:dyDescent="0.25">
      <c r="A50" t="s">
        <v>23</v>
      </c>
      <c r="B50" t="s">
        <v>78</v>
      </c>
      <c r="C50" t="s">
        <v>43</v>
      </c>
      <c r="D50" t="s">
        <v>16</v>
      </c>
      <c r="E50" t="s">
        <v>22</v>
      </c>
      <c r="F50" s="1">
        <v>41926</v>
      </c>
      <c r="G50">
        <v>787399423</v>
      </c>
      <c r="H50" s="1">
        <v>41957</v>
      </c>
      <c r="I50" s="3">
        <v>7842</v>
      </c>
      <c r="J50" s="3">
        <v>109.28</v>
      </c>
      <c r="K50" s="3">
        <v>35.840000000000003</v>
      </c>
      <c r="L50" s="3">
        <v>856973.76</v>
      </c>
      <c r="M50" s="3">
        <v>281057.28000000003</v>
      </c>
      <c r="N50" s="3">
        <v>575916.48</v>
      </c>
    </row>
    <row r="51" spans="1:14" x14ac:dyDescent="0.25">
      <c r="A51" t="s">
        <v>27</v>
      </c>
      <c r="B51" t="s">
        <v>79</v>
      </c>
      <c r="C51" t="s">
        <v>25</v>
      </c>
      <c r="D51" t="s">
        <v>16</v>
      </c>
      <c r="E51" t="s">
        <v>22</v>
      </c>
      <c r="F51" s="1">
        <v>40919</v>
      </c>
      <c r="G51">
        <v>837559306</v>
      </c>
      <c r="H51" s="1">
        <v>40921</v>
      </c>
      <c r="I51" s="3">
        <v>1266</v>
      </c>
      <c r="J51" s="3">
        <v>651.21</v>
      </c>
      <c r="K51" s="3">
        <v>524.96</v>
      </c>
      <c r="L51" s="3">
        <v>824431.86</v>
      </c>
      <c r="M51" s="3">
        <v>664599.36</v>
      </c>
      <c r="N51" s="3">
        <v>159832.5</v>
      </c>
    </row>
    <row r="52" spans="1:14" x14ac:dyDescent="0.25">
      <c r="A52" t="s">
        <v>23</v>
      </c>
      <c r="B52" t="s">
        <v>80</v>
      </c>
      <c r="C52" t="s">
        <v>43</v>
      </c>
      <c r="D52" t="s">
        <v>21</v>
      </c>
      <c r="E52" t="s">
        <v>22</v>
      </c>
      <c r="F52" s="1">
        <v>40211</v>
      </c>
      <c r="G52">
        <v>385383069</v>
      </c>
      <c r="H52" s="1">
        <v>40255</v>
      </c>
      <c r="I52" s="3">
        <v>2269</v>
      </c>
      <c r="J52" s="3">
        <v>109.28</v>
      </c>
      <c r="K52" s="3">
        <v>35.840000000000003</v>
      </c>
      <c r="L52" s="3">
        <v>247956.32</v>
      </c>
      <c r="M52" s="3">
        <v>81320.960000000006</v>
      </c>
      <c r="N52" s="3">
        <v>166635.35999999999</v>
      </c>
    </row>
    <row r="53" spans="1:14" x14ac:dyDescent="0.25">
      <c r="A53" t="s">
        <v>27</v>
      </c>
      <c r="B53" t="s">
        <v>81</v>
      </c>
      <c r="C53" t="s">
        <v>29</v>
      </c>
      <c r="D53" t="s">
        <v>21</v>
      </c>
      <c r="E53" t="s">
        <v>26</v>
      </c>
      <c r="F53" s="1">
        <v>41504</v>
      </c>
      <c r="G53">
        <v>918419539</v>
      </c>
      <c r="H53" s="1">
        <v>41535</v>
      </c>
      <c r="I53" s="3">
        <v>9606</v>
      </c>
      <c r="J53" s="3">
        <v>9.33</v>
      </c>
      <c r="K53" s="3">
        <v>6.92</v>
      </c>
      <c r="L53" s="3">
        <v>89623.98</v>
      </c>
      <c r="M53" s="3">
        <v>66473.52</v>
      </c>
      <c r="N53" s="3">
        <v>23150.46</v>
      </c>
    </row>
    <row r="54" spans="1:14" x14ac:dyDescent="0.25">
      <c r="A54" t="s">
        <v>70</v>
      </c>
      <c r="B54" t="s">
        <v>82</v>
      </c>
      <c r="C54" t="s">
        <v>20</v>
      </c>
      <c r="D54" t="s">
        <v>21</v>
      </c>
      <c r="E54" t="s">
        <v>34</v>
      </c>
      <c r="F54" s="1">
        <v>41358</v>
      </c>
      <c r="G54">
        <v>844530045</v>
      </c>
      <c r="H54" s="1">
        <v>41361</v>
      </c>
      <c r="I54" s="3">
        <v>4063</v>
      </c>
      <c r="J54" s="3">
        <v>205.7</v>
      </c>
      <c r="K54" s="3">
        <v>117.11</v>
      </c>
      <c r="L54" s="3">
        <v>835759.1</v>
      </c>
      <c r="M54" s="3">
        <v>475817.93</v>
      </c>
      <c r="N54" s="3">
        <v>359941.17</v>
      </c>
    </row>
    <row r="55" spans="1:14" x14ac:dyDescent="0.25">
      <c r="A55" t="s">
        <v>27</v>
      </c>
      <c r="B55" t="s">
        <v>83</v>
      </c>
      <c r="C55" t="s">
        <v>25</v>
      </c>
      <c r="D55" t="s">
        <v>16</v>
      </c>
      <c r="E55" t="s">
        <v>34</v>
      </c>
      <c r="F55" s="1">
        <v>40873</v>
      </c>
      <c r="G55">
        <v>441888415</v>
      </c>
      <c r="H55" s="1">
        <v>40915</v>
      </c>
      <c r="I55" s="3">
        <v>3457</v>
      </c>
      <c r="J55" s="3">
        <v>651.21</v>
      </c>
      <c r="K55" s="3">
        <v>524.96</v>
      </c>
      <c r="L55" s="3">
        <v>2251232.9700000002</v>
      </c>
      <c r="M55" s="3">
        <v>1814786.72</v>
      </c>
      <c r="N55" s="3">
        <v>436446.25</v>
      </c>
    </row>
    <row r="56" spans="1:14" x14ac:dyDescent="0.25">
      <c r="A56" t="s">
        <v>27</v>
      </c>
      <c r="B56" t="s">
        <v>28</v>
      </c>
      <c r="C56" t="s">
        <v>29</v>
      </c>
      <c r="D56" t="s">
        <v>16</v>
      </c>
      <c r="E56" t="s">
        <v>17</v>
      </c>
      <c r="F56" s="1">
        <v>41534</v>
      </c>
      <c r="G56">
        <v>508980977</v>
      </c>
      <c r="H56" s="1">
        <v>41571</v>
      </c>
      <c r="I56" s="3">
        <v>7637</v>
      </c>
      <c r="J56" s="3">
        <v>9.33</v>
      </c>
      <c r="K56" s="3">
        <v>6.92</v>
      </c>
      <c r="L56" s="3">
        <v>71253.210000000006</v>
      </c>
      <c r="M56" s="3">
        <v>52848.04</v>
      </c>
      <c r="N56" s="3">
        <v>18405.169999999998</v>
      </c>
    </row>
    <row r="57" spans="1:14" x14ac:dyDescent="0.25">
      <c r="A57" t="s">
        <v>27</v>
      </c>
      <c r="B57" t="s">
        <v>84</v>
      </c>
      <c r="C57" t="s">
        <v>43</v>
      </c>
      <c r="D57" t="s">
        <v>21</v>
      </c>
      <c r="E57" t="s">
        <v>22</v>
      </c>
      <c r="F57" s="1">
        <v>41068</v>
      </c>
      <c r="G57">
        <v>114606559</v>
      </c>
      <c r="H57" s="1">
        <v>41087</v>
      </c>
      <c r="I57" s="3">
        <v>3482</v>
      </c>
      <c r="J57" s="3">
        <v>109.28</v>
      </c>
      <c r="K57" s="3">
        <v>35.840000000000003</v>
      </c>
      <c r="L57" s="3">
        <v>380512.96</v>
      </c>
      <c r="M57" s="3">
        <v>124794.88</v>
      </c>
      <c r="N57" s="3">
        <v>255718.08</v>
      </c>
    </row>
    <row r="58" spans="1:14" x14ac:dyDescent="0.25">
      <c r="A58" t="s">
        <v>13</v>
      </c>
      <c r="B58" t="s">
        <v>85</v>
      </c>
      <c r="C58" t="s">
        <v>43</v>
      </c>
      <c r="D58" t="s">
        <v>16</v>
      </c>
      <c r="E58" t="s">
        <v>22</v>
      </c>
      <c r="F58" s="1">
        <v>40359</v>
      </c>
      <c r="G58">
        <v>647876489</v>
      </c>
      <c r="H58" s="1">
        <v>40391</v>
      </c>
      <c r="I58" s="3">
        <v>9905</v>
      </c>
      <c r="J58" s="3">
        <v>109.28</v>
      </c>
      <c r="K58" s="3">
        <v>35.840000000000003</v>
      </c>
      <c r="L58" s="3">
        <v>1082418.3999999999</v>
      </c>
      <c r="M58" s="3">
        <v>354995.20000000001</v>
      </c>
      <c r="N58" s="3">
        <v>727423.2</v>
      </c>
    </row>
    <row r="59" spans="1:14" x14ac:dyDescent="0.25">
      <c r="A59" t="s">
        <v>23</v>
      </c>
      <c r="B59" t="s">
        <v>86</v>
      </c>
      <c r="C59" t="s">
        <v>49</v>
      </c>
      <c r="D59" t="s">
        <v>16</v>
      </c>
      <c r="E59" t="s">
        <v>17</v>
      </c>
      <c r="F59" s="1">
        <v>42058</v>
      </c>
      <c r="G59">
        <v>868214595</v>
      </c>
      <c r="H59" s="1">
        <v>42065</v>
      </c>
      <c r="I59" s="3">
        <v>2847</v>
      </c>
      <c r="J59" s="3">
        <v>437.2</v>
      </c>
      <c r="K59" s="3">
        <v>263.33</v>
      </c>
      <c r="L59" s="3">
        <v>1244708.3999999999</v>
      </c>
      <c r="M59" s="3">
        <v>749700.51</v>
      </c>
      <c r="N59" s="3">
        <v>495007.89</v>
      </c>
    </row>
    <row r="60" spans="1:14" x14ac:dyDescent="0.25">
      <c r="A60" t="s">
        <v>23</v>
      </c>
      <c r="B60" t="s">
        <v>87</v>
      </c>
      <c r="C60" t="s">
        <v>33</v>
      </c>
      <c r="D60" t="s">
        <v>21</v>
      </c>
      <c r="E60" t="s">
        <v>26</v>
      </c>
      <c r="F60" s="1">
        <v>40913</v>
      </c>
      <c r="G60">
        <v>955357205</v>
      </c>
      <c r="H60" s="1">
        <v>40953</v>
      </c>
      <c r="I60" s="3">
        <v>282</v>
      </c>
      <c r="J60" s="3">
        <v>668.27</v>
      </c>
      <c r="K60" s="3">
        <v>502.54</v>
      </c>
      <c r="L60" s="3">
        <v>188452.14</v>
      </c>
      <c r="M60" s="3">
        <v>141716.28</v>
      </c>
      <c r="N60" s="3">
        <v>46735.86</v>
      </c>
    </row>
    <row r="61" spans="1:14" x14ac:dyDescent="0.25">
      <c r="A61" t="s">
        <v>27</v>
      </c>
      <c r="B61" t="s">
        <v>68</v>
      </c>
      <c r="C61" t="s">
        <v>49</v>
      </c>
      <c r="D61" t="s">
        <v>16</v>
      </c>
      <c r="E61" t="s">
        <v>17</v>
      </c>
      <c r="F61" s="1">
        <v>41736</v>
      </c>
      <c r="G61">
        <v>259353148</v>
      </c>
      <c r="H61" s="1">
        <v>41748</v>
      </c>
      <c r="I61" s="3">
        <v>7215</v>
      </c>
      <c r="J61" s="3">
        <v>437.2</v>
      </c>
      <c r="K61" s="3">
        <v>263.33</v>
      </c>
      <c r="L61" s="3">
        <v>3154398</v>
      </c>
      <c r="M61" s="3">
        <v>1899925.95</v>
      </c>
      <c r="N61" s="3">
        <v>1254472.05</v>
      </c>
    </row>
    <row r="62" spans="1:14" x14ac:dyDescent="0.25">
      <c r="A62" t="s">
        <v>13</v>
      </c>
      <c r="B62" t="s">
        <v>66</v>
      </c>
      <c r="C62" t="s">
        <v>20</v>
      </c>
      <c r="D62" t="s">
        <v>16</v>
      </c>
      <c r="E62" t="s">
        <v>17</v>
      </c>
      <c r="F62" s="1">
        <v>41434</v>
      </c>
      <c r="G62">
        <v>450563752</v>
      </c>
      <c r="H62" s="1">
        <v>41457</v>
      </c>
      <c r="I62" s="3">
        <v>682</v>
      </c>
      <c r="J62" s="3">
        <v>205.7</v>
      </c>
      <c r="K62" s="3">
        <v>117.11</v>
      </c>
      <c r="L62" s="3">
        <v>140287.4</v>
      </c>
      <c r="M62" s="3">
        <v>79869.02</v>
      </c>
      <c r="N62" s="3">
        <v>60418.38</v>
      </c>
    </row>
    <row r="63" spans="1:14" x14ac:dyDescent="0.25">
      <c r="A63" t="s">
        <v>23</v>
      </c>
      <c r="B63" t="s">
        <v>88</v>
      </c>
      <c r="C63" t="s">
        <v>15</v>
      </c>
      <c r="D63" t="s">
        <v>21</v>
      </c>
      <c r="E63" t="s">
        <v>26</v>
      </c>
      <c r="F63" s="1">
        <v>41451</v>
      </c>
      <c r="G63">
        <v>569662845</v>
      </c>
      <c r="H63" s="1">
        <v>41456</v>
      </c>
      <c r="I63" s="3">
        <v>4750</v>
      </c>
      <c r="J63" s="3">
        <v>255.28</v>
      </c>
      <c r="K63" s="3">
        <v>159.41999999999999</v>
      </c>
      <c r="L63" s="3">
        <v>1212580</v>
      </c>
      <c r="M63" s="3">
        <v>757245</v>
      </c>
      <c r="N63" s="3">
        <v>455335</v>
      </c>
    </row>
    <row r="64" spans="1:14" x14ac:dyDescent="0.25">
      <c r="A64" t="s">
        <v>27</v>
      </c>
      <c r="B64" t="s">
        <v>50</v>
      </c>
      <c r="C64" t="s">
        <v>25</v>
      </c>
      <c r="D64" t="s">
        <v>21</v>
      </c>
      <c r="E64" t="s">
        <v>34</v>
      </c>
      <c r="F64" s="1">
        <v>40854</v>
      </c>
      <c r="G64">
        <v>177636754</v>
      </c>
      <c r="H64" s="1">
        <v>40862</v>
      </c>
      <c r="I64" s="3">
        <v>5518</v>
      </c>
      <c r="J64" s="3">
        <v>651.21</v>
      </c>
      <c r="K64" s="3">
        <v>524.96</v>
      </c>
      <c r="L64" s="3">
        <v>3593376.78</v>
      </c>
      <c r="M64" s="3">
        <v>2896729.28</v>
      </c>
      <c r="N64" s="3">
        <v>696647.5</v>
      </c>
    </row>
    <row r="65" spans="1:14" x14ac:dyDescent="0.25">
      <c r="A65" t="s">
        <v>70</v>
      </c>
      <c r="B65" t="s">
        <v>89</v>
      </c>
      <c r="C65" t="s">
        <v>43</v>
      </c>
      <c r="D65" t="s">
        <v>16</v>
      </c>
      <c r="E65" t="s">
        <v>17</v>
      </c>
      <c r="F65" s="1">
        <v>40481</v>
      </c>
      <c r="G65">
        <v>705784308</v>
      </c>
      <c r="H65" s="1">
        <v>40499</v>
      </c>
      <c r="I65" s="3">
        <v>6116</v>
      </c>
      <c r="J65" s="3">
        <v>109.28</v>
      </c>
      <c r="K65" s="3">
        <v>35.840000000000003</v>
      </c>
      <c r="L65" s="3">
        <v>668356.48</v>
      </c>
      <c r="M65" s="3">
        <v>219197.44</v>
      </c>
      <c r="N65" s="3">
        <v>449159.04</v>
      </c>
    </row>
    <row r="66" spans="1:14" x14ac:dyDescent="0.25">
      <c r="A66" t="s">
        <v>18</v>
      </c>
      <c r="B66" t="s">
        <v>90</v>
      </c>
      <c r="C66" t="s">
        <v>49</v>
      </c>
      <c r="D66" t="s">
        <v>16</v>
      </c>
      <c r="E66" t="s">
        <v>17</v>
      </c>
      <c r="F66" s="1">
        <v>41560</v>
      </c>
      <c r="G66">
        <v>505716836</v>
      </c>
      <c r="H66" s="1">
        <v>41594</v>
      </c>
      <c r="I66" s="3">
        <v>1705</v>
      </c>
      <c r="J66" s="3">
        <v>437.2</v>
      </c>
      <c r="K66" s="3">
        <v>263.33</v>
      </c>
      <c r="L66" s="3">
        <v>745426</v>
      </c>
      <c r="M66" s="3">
        <v>448977.65</v>
      </c>
      <c r="N66" s="3">
        <v>296448.34999999998</v>
      </c>
    </row>
    <row r="67" spans="1:14" x14ac:dyDescent="0.25">
      <c r="A67" t="s">
        <v>27</v>
      </c>
      <c r="B67" t="s">
        <v>30</v>
      </c>
      <c r="C67" t="s">
        <v>49</v>
      </c>
      <c r="D67" t="s">
        <v>16</v>
      </c>
      <c r="E67" t="s">
        <v>17</v>
      </c>
      <c r="F67" s="1">
        <v>41558</v>
      </c>
      <c r="G67">
        <v>699358165</v>
      </c>
      <c r="H67" s="1">
        <v>41603</v>
      </c>
      <c r="I67" s="3">
        <v>4477</v>
      </c>
      <c r="J67" s="3">
        <v>437.2</v>
      </c>
      <c r="K67" s="3">
        <v>263.33</v>
      </c>
      <c r="L67" s="3">
        <v>1957344.4</v>
      </c>
      <c r="M67" s="3">
        <v>1178928.4099999999</v>
      </c>
      <c r="N67" s="3">
        <v>778415.99</v>
      </c>
    </row>
    <row r="68" spans="1:14" x14ac:dyDescent="0.25">
      <c r="A68" t="s">
        <v>27</v>
      </c>
      <c r="B68" t="s">
        <v>91</v>
      </c>
      <c r="C68" t="s">
        <v>38</v>
      </c>
      <c r="D68" t="s">
        <v>16</v>
      </c>
      <c r="E68" t="s">
        <v>26</v>
      </c>
      <c r="F68" s="1">
        <v>41098</v>
      </c>
      <c r="G68">
        <v>228944623</v>
      </c>
      <c r="H68" s="1">
        <v>41099</v>
      </c>
      <c r="I68" s="3">
        <v>8656</v>
      </c>
      <c r="J68" s="3">
        <v>81.73</v>
      </c>
      <c r="K68" s="3">
        <v>56.67</v>
      </c>
      <c r="L68" s="3">
        <v>707454.88</v>
      </c>
      <c r="M68" s="3">
        <v>490535.52</v>
      </c>
      <c r="N68" s="3">
        <v>216919.36</v>
      </c>
    </row>
    <row r="69" spans="1:14" x14ac:dyDescent="0.25">
      <c r="A69" t="s">
        <v>18</v>
      </c>
      <c r="B69" t="s">
        <v>92</v>
      </c>
      <c r="C69" t="s">
        <v>43</v>
      </c>
      <c r="D69" t="s">
        <v>16</v>
      </c>
      <c r="E69" t="s">
        <v>34</v>
      </c>
      <c r="F69" s="1">
        <v>42576</v>
      </c>
      <c r="G69">
        <v>807025039</v>
      </c>
      <c r="H69" s="1">
        <v>42620</v>
      </c>
      <c r="I69" s="3">
        <v>5498</v>
      </c>
      <c r="J69" s="3">
        <v>109.28</v>
      </c>
      <c r="K69" s="3">
        <v>35.840000000000003</v>
      </c>
      <c r="L69" s="3">
        <v>600821.43999999994</v>
      </c>
      <c r="M69" s="3">
        <v>197048.32000000001</v>
      </c>
      <c r="N69" s="3">
        <v>403773.12</v>
      </c>
    </row>
    <row r="70" spans="1:14" x14ac:dyDescent="0.25">
      <c r="A70" t="s">
        <v>23</v>
      </c>
      <c r="B70" t="s">
        <v>93</v>
      </c>
      <c r="C70" t="s">
        <v>25</v>
      </c>
      <c r="D70" t="s">
        <v>16</v>
      </c>
      <c r="E70" t="s">
        <v>17</v>
      </c>
      <c r="F70" s="1">
        <v>40475</v>
      </c>
      <c r="G70">
        <v>166460740</v>
      </c>
      <c r="H70" s="1">
        <v>40499</v>
      </c>
      <c r="I70" s="3">
        <v>8287</v>
      </c>
      <c r="J70" s="3">
        <v>651.21</v>
      </c>
      <c r="K70" s="3">
        <v>524.96</v>
      </c>
      <c r="L70" s="3">
        <v>5396577.2699999996</v>
      </c>
      <c r="M70" s="3">
        <v>4350343.5199999996</v>
      </c>
      <c r="N70" s="3">
        <v>1046233.75</v>
      </c>
    </row>
    <row r="71" spans="1:14" x14ac:dyDescent="0.25">
      <c r="A71" t="s">
        <v>27</v>
      </c>
      <c r="B71" t="s">
        <v>94</v>
      </c>
      <c r="C71" t="s">
        <v>43</v>
      </c>
      <c r="D71" t="s">
        <v>16</v>
      </c>
      <c r="E71" t="s">
        <v>26</v>
      </c>
      <c r="F71" s="1">
        <v>42119</v>
      </c>
      <c r="G71">
        <v>610425555</v>
      </c>
      <c r="H71" s="1">
        <v>42152</v>
      </c>
      <c r="I71" s="3">
        <v>7342</v>
      </c>
      <c r="J71" s="3">
        <v>109.28</v>
      </c>
      <c r="K71" s="3">
        <v>35.840000000000003</v>
      </c>
      <c r="L71" s="3">
        <v>802333.76</v>
      </c>
      <c r="M71" s="3">
        <v>263137.28000000003</v>
      </c>
      <c r="N71" s="3">
        <v>539196.48</v>
      </c>
    </row>
    <row r="72" spans="1:14" x14ac:dyDescent="0.25">
      <c r="A72" t="s">
        <v>40</v>
      </c>
      <c r="B72" t="s">
        <v>52</v>
      </c>
      <c r="C72" t="s">
        <v>25</v>
      </c>
      <c r="D72" t="s">
        <v>21</v>
      </c>
      <c r="E72" t="s">
        <v>34</v>
      </c>
      <c r="F72" s="1">
        <v>41387</v>
      </c>
      <c r="G72">
        <v>462405812</v>
      </c>
      <c r="H72" s="1">
        <v>41414</v>
      </c>
      <c r="I72" s="3">
        <v>5010</v>
      </c>
      <c r="J72" s="3">
        <v>651.21</v>
      </c>
      <c r="K72" s="3">
        <v>524.96</v>
      </c>
      <c r="L72" s="3">
        <v>3262562.1</v>
      </c>
      <c r="M72" s="3">
        <v>2630049.6</v>
      </c>
      <c r="N72" s="3">
        <v>632512.5</v>
      </c>
    </row>
    <row r="73" spans="1:14" x14ac:dyDescent="0.25">
      <c r="A73" t="s">
        <v>70</v>
      </c>
      <c r="B73" t="s">
        <v>89</v>
      </c>
      <c r="C73" t="s">
        <v>29</v>
      </c>
      <c r="D73" t="s">
        <v>21</v>
      </c>
      <c r="E73" t="s">
        <v>26</v>
      </c>
      <c r="F73" s="1">
        <v>42230</v>
      </c>
      <c r="G73">
        <v>816200339</v>
      </c>
      <c r="H73" s="1">
        <v>42277</v>
      </c>
      <c r="I73" s="3">
        <v>673</v>
      </c>
      <c r="J73" s="3">
        <v>9.33</v>
      </c>
      <c r="K73" s="3">
        <v>6.92</v>
      </c>
      <c r="L73" s="3">
        <v>6279.09</v>
      </c>
      <c r="M73" s="3">
        <v>4657.16</v>
      </c>
      <c r="N73" s="3">
        <v>1621.93</v>
      </c>
    </row>
    <row r="74" spans="1:14" x14ac:dyDescent="0.25">
      <c r="A74" t="s">
        <v>27</v>
      </c>
      <c r="B74" t="s">
        <v>95</v>
      </c>
      <c r="C74" t="s">
        <v>51</v>
      </c>
      <c r="D74" t="s">
        <v>21</v>
      </c>
      <c r="E74" t="s">
        <v>22</v>
      </c>
      <c r="F74" s="1">
        <v>40689</v>
      </c>
      <c r="G74">
        <v>585920464</v>
      </c>
      <c r="H74" s="1">
        <v>40739</v>
      </c>
      <c r="I74" s="3">
        <v>5741</v>
      </c>
      <c r="J74" s="3">
        <v>47.45</v>
      </c>
      <c r="K74" s="3">
        <v>31.79</v>
      </c>
      <c r="L74" s="3">
        <v>272410.45</v>
      </c>
      <c r="M74" s="3">
        <v>182506.39</v>
      </c>
      <c r="N74" s="3">
        <v>89904.06</v>
      </c>
    </row>
    <row r="75" spans="1:14" x14ac:dyDescent="0.25">
      <c r="A75" t="s">
        <v>27</v>
      </c>
      <c r="B75" t="s">
        <v>68</v>
      </c>
      <c r="C75" t="s">
        <v>20</v>
      </c>
      <c r="D75" t="s">
        <v>21</v>
      </c>
      <c r="E75" t="s">
        <v>17</v>
      </c>
      <c r="F75" s="1">
        <v>42875</v>
      </c>
      <c r="G75">
        <v>555990016</v>
      </c>
      <c r="H75" s="1">
        <v>42903</v>
      </c>
      <c r="I75" s="3">
        <v>8656</v>
      </c>
      <c r="J75" s="3">
        <v>205.7</v>
      </c>
      <c r="K75" s="3">
        <v>117.11</v>
      </c>
      <c r="L75" s="3">
        <v>1780539.2</v>
      </c>
      <c r="M75" s="3">
        <v>1013704.16</v>
      </c>
      <c r="N75" s="3">
        <v>766835.04</v>
      </c>
    </row>
    <row r="76" spans="1:14" x14ac:dyDescent="0.25">
      <c r="A76" t="s">
        <v>70</v>
      </c>
      <c r="B76" t="s">
        <v>96</v>
      </c>
      <c r="C76" t="s">
        <v>49</v>
      </c>
      <c r="D76" t="s">
        <v>16</v>
      </c>
      <c r="E76" t="s">
        <v>26</v>
      </c>
      <c r="F76" s="1">
        <v>41460</v>
      </c>
      <c r="G76">
        <v>231145322</v>
      </c>
      <c r="H76" s="1">
        <v>41502</v>
      </c>
      <c r="I76" s="3">
        <v>9892</v>
      </c>
      <c r="J76" s="3">
        <v>437.2</v>
      </c>
      <c r="K76" s="3">
        <v>263.33</v>
      </c>
      <c r="L76" s="3">
        <v>4324782.4000000004</v>
      </c>
      <c r="M76" s="3">
        <v>2604860.36</v>
      </c>
      <c r="N76" s="3">
        <v>1719922.04</v>
      </c>
    </row>
    <row r="77" spans="1:14" x14ac:dyDescent="0.25">
      <c r="A77" t="s">
        <v>97</v>
      </c>
      <c r="B77" t="s">
        <v>98</v>
      </c>
      <c r="C77" t="s">
        <v>33</v>
      </c>
      <c r="D77" t="s">
        <v>16</v>
      </c>
      <c r="E77" t="s">
        <v>22</v>
      </c>
      <c r="F77" s="1">
        <v>41949</v>
      </c>
      <c r="G77">
        <v>986435210</v>
      </c>
      <c r="H77" s="1">
        <v>41985</v>
      </c>
      <c r="I77" s="3">
        <v>6954</v>
      </c>
      <c r="J77" s="3">
        <v>668.27</v>
      </c>
      <c r="K77" s="3">
        <v>502.54</v>
      </c>
      <c r="L77" s="3">
        <v>4647149.58</v>
      </c>
      <c r="M77" s="3">
        <v>3494663.16</v>
      </c>
      <c r="N77" s="3">
        <v>1152486.42</v>
      </c>
    </row>
    <row r="78" spans="1:14" x14ac:dyDescent="0.25">
      <c r="A78" t="s">
        <v>13</v>
      </c>
      <c r="B78" t="s">
        <v>99</v>
      </c>
      <c r="C78" t="s">
        <v>51</v>
      </c>
      <c r="D78" t="s">
        <v>21</v>
      </c>
      <c r="E78" t="s">
        <v>22</v>
      </c>
      <c r="F78" s="1">
        <v>41940</v>
      </c>
      <c r="G78">
        <v>217221009</v>
      </c>
      <c r="H78" s="1">
        <v>41958</v>
      </c>
      <c r="I78" s="3">
        <v>9379</v>
      </c>
      <c r="J78" s="3">
        <v>47.45</v>
      </c>
      <c r="K78" s="3">
        <v>31.79</v>
      </c>
      <c r="L78" s="3">
        <v>445033.55</v>
      </c>
      <c r="M78" s="3">
        <v>298158.40999999997</v>
      </c>
      <c r="N78" s="3">
        <v>146875.14000000001</v>
      </c>
    </row>
    <row r="79" spans="1:14" x14ac:dyDescent="0.25">
      <c r="A79" t="s">
        <v>40</v>
      </c>
      <c r="B79" t="s">
        <v>100</v>
      </c>
      <c r="C79" t="s">
        <v>36</v>
      </c>
      <c r="D79" t="s">
        <v>16</v>
      </c>
      <c r="E79" t="s">
        <v>22</v>
      </c>
      <c r="F79" s="1">
        <v>40801</v>
      </c>
      <c r="G79">
        <v>789176547</v>
      </c>
      <c r="H79" s="1">
        <v>40839</v>
      </c>
      <c r="I79" s="3">
        <v>3732</v>
      </c>
      <c r="J79" s="3">
        <v>154.06</v>
      </c>
      <c r="K79" s="3">
        <v>90.93</v>
      </c>
      <c r="L79" s="3">
        <v>574951.92000000004</v>
      </c>
      <c r="M79" s="3">
        <v>339350.76</v>
      </c>
      <c r="N79" s="3">
        <v>235601.16</v>
      </c>
    </row>
    <row r="80" spans="1:14" x14ac:dyDescent="0.25">
      <c r="A80" t="s">
        <v>23</v>
      </c>
      <c r="B80" t="s">
        <v>101</v>
      </c>
      <c r="C80" t="s">
        <v>15</v>
      </c>
      <c r="D80" t="s">
        <v>16</v>
      </c>
      <c r="E80" t="s">
        <v>17</v>
      </c>
      <c r="F80" s="1">
        <v>41058</v>
      </c>
      <c r="G80">
        <v>688288152</v>
      </c>
      <c r="H80" s="1">
        <v>41062</v>
      </c>
      <c r="I80" s="3">
        <v>8614</v>
      </c>
      <c r="J80" s="3">
        <v>255.28</v>
      </c>
      <c r="K80" s="3">
        <v>159.41999999999999</v>
      </c>
      <c r="L80" s="3">
        <v>2198981.92</v>
      </c>
      <c r="M80" s="3">
        <v>1373243.88</v>
      </c>
      <c r="N80" s="3">
        <v>825738.04</v>
      </c>
    </row>
    <row r="81" spans="1:14" x14ac:dyDescent="0.25">
      <c r="A81" t="s">
        <v>13</v>
      </c>
      <c r="B81" t="s">
        <v>102</v>
      </c>
      <c r="C81" t="s">
        <v>49</v>
      </c>
      <c r="D81" t="s">
        <v>21</v>
      </c>
      <c r="E81" t="s">
        <v>17</v>
      </c>
      <c r="F81" s="1">
        <v>41475</v>
      </c>
      <c r="G81">
        <v>670854651</v>
      </c>
      <c r="H81" s="1">
        <v>41493</v>
      </c>
      <c r="I81" s="3">
        <v>9654</v>
      </c>
      <c r="J81" s="3">
        <v>437.2</v>
      </c>
      <c r="K81" s="3">
        <v>263.33</v>
      </c>
      <c r="L81" s="3">
        <v>4220728.8</v>
      </c>
      <c r="M81" s="3">
        <v>2542187.8199999998</v>
      </c>
      <c r="N81" s="3">
        <v>1678540.98</v>
      </c>
    </row>
    <row r="82" spans="1:14" x14ac:dyDescent="0.25">
      <c r="A82" t="s">
        <v>23</v>
      </c>
      <c r="B82" t="s">
        <v>103</v>
      </c>
      <c r="C82" t="s">
        <v>33</v>
      </c>
      <c r="D82" t="s">
        <v>16</v>
      </c>
      <c r="E82" t="s">
        <v>26</v>
      </c>
      <c r="F82" s="1">
        <v>41203</v>
      </c>
      <c r="G82">
        <v>213487374</v>
      </c>
      <c r="H82" s="1">
        <v>41243</v>
      </c>
      <c r="I82" s="3">
        <v>4513</v>
      </c>
      <c r="J82" s="3">
        <v>668.27</v>
      </c>
      <c r="K82" s="3">
        <v>502.54</v>
      </c>
      <c r="L82" s="3">
        <v>3015902.51</v>
      </c>
      <c r="M82" s="3">
        <v>2267963.02</v>
      </c>
      <c r="N82" s="3">
        <v>747939.49</v>
      </c>
    </row>
    <row r="83" spans="1:14" x14ac:dyDescent="0.25">
      <c r="A83" t="s">
        <v>70</v>
      </c>
      <c r="B83" t="s">
        <v>104</v>
      </c>
      <c r="C83" t="s">
        <v>43</v>
      </c>
      <c r="D83" t="s">
        <v>21</v>
      </c>
      <c r="E83" t="s">
        <v>26</v>
      </c>
      <c r="F83" s="1">
        <v>41170</v>
      </c>
      <c r="G83">
        <v>663110148</v>
      </c>
      <c r="H83" s="1">
        <v>41190</v>
      </c>
      <c r="I83" s="3">
        <v>7884</v>
      </c>
      <c r="J83" s="3">
        <v>109.28</v>
      </c>
      <c r="K83" s="3">
        <v>35.840000000000003</v>
      </c>
      <c r="L83" s="3">
        <v>861563.52</v>
      </c>
      <c r="M83" s="3">
        <v>282562.56</v>
      </c>
      <c r="N83" s="3">
        <v>579000.96</v>
      </c>
    </row>
    <row r="84" spans="1:14" x14ac:dyDescent="0.25">
      <c r="A84" t="s">
        <v>70</v>
      </c>
      <c r="B84" t="s">
        <v>105</v>
      </c>
      <c r="C84" t="s">
        <v>49</v>
      </c>
      <c r="D84" t="s">
        <v>21</v>
      </c>
      <c r="E84" t="s">
        <v>17</v>
      </c>
      <c r="F84" s="1">
        <v>42689</v>
      </c>
      <c r="G84">
        <v>286959302</v>
      </c>
      <c r="H84" s="1">
        <v>42712</v>
      </c>
      <c r="I84" s="3">
        <v>6489</v>
      </c>
      <c r="J84" s="3">
        <v>437.2</v>
      </c>
      <c r="K84" s="3">
        <v>263.33</v>
      </c>
      <c r="L84" s="3">
        <v>2836990.8</v>
      </c>
      <c r="M84" s="3">
        <v>1708748.37</v>
      </c>
      <c r="N84" s="3">
        <v>1128242.43</v>
      </c>
    </row>
    <row r="85" spans="1:14" x14ac:dyDescent="0.25">
      <c r="A85" t="s">
        <v>27</v>
      </c>
      <c r="B85" t="s">
        <v>106</v>
      </c>
      <c r="C85" t="s">
        <v>57</v>
      </c>
      <c r="D85" t="s">
        <v>21</v>
      </c>
      <c r="E85" t="s">
        <v>26</v>
      </c>
      <c r="F85" s="1">
        <v>40547</v>
      </c>
      <c r="G85">
        <v>122583663</v>
      </c>
      <c r="H85" s="1">
        <v>40548</v>
      </c>
      <c r="I85" s="3">
        <v>4085</v>
      </c>
      <c r="J85" s="3">
        <v>152.58000000000001</v>
      </c>
      <c r="K85" s="3">
        <v>97.44</v>
      </c>
      <c r="L85" s="3">
        <v>623289.30000000005</v>
      </c>
      <c r="M85" s="3">
        <v>398042.4</v>
      </c>
      <c r="N85" s="3">
        <v>225246.9</v>
      </c>
    </row>
    <row r="86" spans="1:14" x14ac:dyDescent="0.25">
      <c r="A86" t="s">
        <v>27</v>
      </c>
      <c r="B86" t="s">
        <v>107</v>
      </c>
      <c r="C86" t="s">
        <v>36</v>
      </c>
      <c r="D86" t="s">
        <v>21</v>
      </c>
      <c r="E86" t="s">
        <v>26</v>
      </c>
      <c r="F86" s="1">
        <v>40986</v>
      </c>
      <c r="G86">
        <v>827844560</v>
      </c>
      <c r="H86" s="1">
        <v>41006</v>
      </c>
      <c r="I86" s="3">
        <v>6457</v>
      </c>
      <c r="J86" s="3">
        <v>154.06</v>
      </c>
      <c r="K86" s="3">
        <v>90.93</v>
      </c>
      <c r="L86" s="3">
        <v>994765.42</v>
      </c>
      <c r="M86" s="3">
        <v>587135.01</v>
      </c>
      <c r="N86" s="3">
        <v>407630.41</v>
      </c>
    </row>
    <row r="87" spans="1:14" x14ac:dyDescent="0.25">
      <c r="A87" t="s">
        <v>97</v>
      </c>
      <c r="B87" t="s">
        <v>98</v>
      </c>
      <c r="C87" t="s">
        <v>38</v>
      </c>
      <c r="D87" t="s">
        <v>16</v>
      </c>
      <c r="E87" t="s">
        <v>26</v>
      </c>
      <c r="F87" s="1">
        <v>40956</v>
      </c>
      <c r="G87">
        <v>430915820</v>
      </c>
      <c r="H87" s="1">
        <v>40988</v>
      </c>
      <c r="I87" s="3">
        <v>6422</v>
      </c>
      <c r="J87" s="3">
        <v>81.73</v>
      </c>
      <c r="K87" s="3">
        <v>56.67</v>
      </c>
      <c r="L87" s="3">
        <v>524870.06000000006</v>
      </c>
      <c r="M87" s="3">
        <v>363934.74</v>
      </c>
      <c r="N87" s="3">
        <v>160935.32</v>
      </c>
    </row>
    <row r="88" spans="1:14" x14ac:dyDescent="0.25">
      <c r="A88" t="s">
        <v>27</v>
      </c>
      <c r="B88" t="s">
        <v>28</v>
      </c>
      <c r="C88" t="s">
        <v>51</v>
      </c>
      <c r="D88" t="s">
        <v>16</v>
      </c>
      <c r="E88" t="s">
        <v>22</v>
      </c>
      <c r="F88" s="1">
        <v>40559</v>
      </c>
      <c r="G88">
        <v>180283772</v>
      </c>
      <c r="H88" s="1">
        <v>40564</v>
      </c>
      <c r="I88" s="3">
        <v>8829</v>
      </c>
      <c r="J88" s="3">
        <v>47.45</v>
      </c>
      <c r="K88" s="3">
        <v>31.79</v>
      </c>
      <c r="L88" s="3">
        <v>418936.05</v>
      </c>
      <c r="M88" s="3">
        <v>280673.90999999997</v>
      </c>
      <c r="N88" s="3">
        <v>138262.14000000001</v>
      </c>
    </row>
    <row r="89" spans="1:14" x14ac:dyDescent="0.25">
      <c r="A89" t="s">
        <v>27</v>
      </c>
      <c r="B89" t="s">
        <v>63</v>
      </c>
      <c r="C89" t="s">
        <v>15</v>
      </c>
      <c r="D89" t="s">
        <v>16</v>
      </c>
      <c r="E89" t="s">
        <v>34</v>
      </c>
      <c r="F89" s="1">
        <v>41673</v>
      </c>
      <c r="G89">
        <v>494747245</v>
      </c>
      <c r="H89" s="1">
        <v>41718</v>
      </c>
      <c r="I89" s="3">
        <v>5559</v>
      </c>
      <c r="J89" s="3">
        <v>255.28</v>
      </c>
      <c r="K89" s="3">
        <v>159.41999999999999</v>
      </c>
      <c r="L89" s="3">
        <v>1419101.52</v>
      </c>
      <c r="M89" s="3">
        <v>886215.78</v>
      </c>
      <c r="N89" s="3">
        <v>532885.74</v>
      </c>
    </row>
    <row r="90" spans="1:14" x14ac:dyDescent="0.25">
      <c r="A90" t="s">
        <v>70</v>
      </c>
      <c r="B90" t="s">
        <v>108</v>
      </c>
      <c r="C90" t="s">
        <v>29</v>
      </c>
      <c r="D90" t="s">
        <v>21</v>
      </c>
      <c r="E90" t="s">
        <v>34</v>
      </c>
      <c r="F90" s="1">
        <v>41029</v>
      </c>
      <c r="G90">
        <v>513417565</v>
      </c>
      <c r="H90" s="1">
        <v>41047</v>
      </c>
      <c r="I90" s="3">
        <v>522</v>
      </c>
      <c r="J90" s="3">
        <v>9.33</v>
      </c>
      <c r="K90" s="3">
        <v>6.92</v>
      </c>
      <c r="L90" s="3">
        <v>4870.26</v>
      </c>
      <c r="M90" s="3">
        <v>3612.24</v>
      </c>
      <c r="N90" s="3">
        <v>1258.02</v>
      </c>
    </row>
    <row r="91" spans="1:14" x14ac:dyDescent="0.25">
      <c r="A91" t="s">
        <v>23</v>
      </c>
      <c r="B91" t="s">
        <v>109</v>
      </c>
      <c r="C91" t="s">
        <v>51</v>
      </c>
      <c r="D91" t="s">
        <v>16</v>
      </c>
      <c r="E91" t="s">
        <v>22</v>
      </c>
      <c r="F91" s="1">
        <v>42666</v>
      </c>
      <c r="G91">
        <v>345718562</v>
      </c>
      <c r="H91" s="1">
        <v>42699</v>
      </c>
      <c r="I91" s="3">
        <v>4660</v>
      </c>
      <c r="J91" s="3">
        <v>47.45</v>
      </c>
      <c r="K91" s="3">
        <v>31.79</v>
      </c>
      <c r="L91" s="3">
        <v>221117</v>
      </c>
      <c r="M91" s="3">
        <v>148141.4</v>
      </c>
      <c r="N91" s="3">
        <v>72975.600000000006</v>
      </c>
    </row>
    <row r="92" spans="1:14" x14ac:dyDescent="0.25">
      <c r="A92" t="s">
        <v>27</v>
      </c>
      <c r="B92" t="s">
        <v>83</v>
      </c>
      <c r="C92" t="s">
        <v>25</v>
      </c>
      <c r="D92" t="s">
        <v>16</v>
      </c>
      <c r="E92" t="s">
        <v>17</v>
      </c>
      <c r="F92" s="1">
        <v>42710</v>
      </c>
      <c r="G92">
        <v>621386563</v>
      </c>
      <c r="H92" s="1">
        <v>42718</v>
      </c>
      <c r="I92" s="3">
        <v>948</v>
      </c>
      <c r="J92" s="3">
        <v>651.21</v>
      </c>
      <c r="K92" s="3">
        <v>524.96</v>
      </c>
      <c r="L92" s="3">
        <v>617347.07999999996</v>
      </c>
      <c r="M92" s="3">
        <v>497662.08</v>
      </c>
      <c r="N92" s="3">
        <v>119685</v>
      </c>
    </row>
    <row r="93" spans="1:14" x14ac:dyDescent="0.25">
      <c r="A93" t="s">
        <v>13</v>
      </c>
      <c r="B93" t="s">
        <v>66</v>
      </c>
      <c r="C93" t="s">
        <v>51</v>
      </c>
      <c r="D93" t="s">
        <v>16</v>
      </c>
      <c r="E93" t="s">
        <v>17</v>
      </c>
      <c r="F93" s="1">
        <v>41827</v>
      </c>
      <c r="G93">
        <v>240470397</v>
      </c>
      <c r="H93" s="1">
        <v>41831</v>
      </c>
      <c r="I93" s="3">
        <v>9389</v>
      </c>
      <c r="J93" s="3">
        <v>47.45</v>
      </c>
      <c r="K93" s="3">
        <v>31.79</v>
      </c>
      <c r="L93" s="3">
        <v>445508.05</v>
      </c>
      <c r="M93" s="3">
        <v>298476.31</v>
      </c>
      <c r="N93" s="3">
        <v>147031.74</v>
      </c>
    </row>
    <row r="94" spans="1:14" x14ac:dyDescent="0.25">
      <c r="A94" t="s">
        <v>70</v>
      </c>
      <c r="B94" t="s">
        <v>74</v>
      </c>
      <c r="C94" t="s">
        <v>25</v>
      </c>
      <c r="D94" t="s">
        <v>21</v>
      </c>
      <c r="E94" t="s">
        <v>34</v>
      </c>
      <c r="F94" s="1">
        <v>41073</v>
      </c>
      <c r="G94">
        <v>423331391</v>
      </c>
      <c r="H94" s="1">
        <v>41114</v>
      </c>
      <c r="I94" s="3">
        <v>2021</v>
      </c>
      <c r="J94" s="3">
        <v>651.21</v>
      </c>
      <c r="K94" s="3">
        <v>524.96</v>
      </c>
      <c r="L94" s="3">
        <v>1316095.4099999999</v>
      </c>
      <c r="M94" s="3">
        <v>1060944.1599999999</v>
      </c>
      <c r="N94" s="3">
        <v>255151.25</v>
      </c>
    </row>
    <row r="95" spans="1:14" x14ac:dyDescent="0.25">
      <c r="A95" t="s">
        <v>23</v>
      </c>
      <c r="B95" t="s">
        <v>110</v>
      </c>
      <c r="C95" t="s">
        <v>49</v>
      </c>
      <c r="D95" t="s">
        <v>21</v>
      </c>
      <c r="E95" t="s">
        <v>17</v>
      </c>
      <c r="F95" s="1">
        <v>40508</v>
      </c>
      <c r="G95">
        <v>660643374</v>
      </c>
      <c r="H95" s="1">
        <v>40537</v>
      </c>
      <c r="I95" s="3">
        <v>7910</v>
      </c>
      <c r="J95" s="3">
        <v>437.2</v>
      </c>
      <c r="K95" s="3">
        <v>263.33</v>
      </c>
      <c r="L95" s="3">
        <v>3458252</v>
      </c>
      <c r="M95" s="3">
        <v>2082940.3</v>
      </c>
      <c r="N95" s="3">
        <v>1375311.7</v>
      </c>
    </row>
    <row r="96" spans="1:14" x14ac:dyDescent="0.25">
      <c r="A96" t="s">
        <v>18</v>
      </c>
      <c r="B96" t="s">
        <v>111</v>
      </c>
      <c r="C96" t="s">
        <v>51</v>
      </c>
      <c r="D96" t="s">
        <v>16</v>
      </c>
      <c r="E96" t="s">
        <v>22</v>
      </c>
      <c r="F96" s="1">
        <v>40582</v>
      </c>
      <c r="G96">
        <v>963392674</v>
      </c>
      <c r="H96" s="1">
        <v>40623</v>
      </c>
      <c r="I96" s="3">
        <v>8156</v>
      </c>
      <c r="J96" s="3">
        <v>47.45</v>
      </c>
      <c r="K96" s="3">
        <v>31.79</v>
      </c>
      <c r="L96" s="3">
        <v>387002.2</v>
      </c>
      <c r="M96" s="3">
        <v>259279.24</v>
      </c>
      <c r="N96" s="3">
        <v>127722.96</v>
      </c>
    </row>
    <row r="97" spans="1:14" x14ac:dyDescent="0.25">
      <c r="A97" t="s">
        <v>27</v>
      </c>
      <c r="B97" t="s">
        <v>62</v>
      </c>
      <c r="C97" t="s">
        <v>43</v>
      </c>
      <c r="D97" t="s">
        <v>21</v>
      </c>
      <c r="E97" t="s">
        <v>34</v>
      </c>
      <c r="F97" s="1">
        <v>40750</v>
      </c>
      <c r="G97">
        <v>512878119</v>
      </c>
      <c r="H97" s="1">
        <v>40789</v>
      </c>
      <c r="I97" s="3">
        <v>888</v>
      </c>
      <c r="J97" s="3">
        <v>109.28</v>
      </c>
      <c r="K97" s="3">
        <v>35.840000000000003</v>
      </c>
      <c r="L97" s="3">
        <v>97040.639999999999</v>
      </c>
      <c r="M97" s="3">
        <v>31825.919999999998</v>
      </c>
      <c r="N97" s="3">
        <v>65214.720000000001</v>
      </c>
    </row>
    <row r="98" spans="1:14" x14ac:dyDescent="0.25">
      <c r="A98" t="s">
        <v>40</v>
      </c>
      <c r="B98" t="s">
        <v>112</v>
      </c>
      <c r="C98" t="s">
        <v>29</v>
      </c>
      <c r="D98" t="s">
        <v>16</v>
      </c>
      <c r="E98" t="s">
        <v>26</v>
      </c>
      <c r="F98" s="1">
        <v>40858</v>
      </c>
      <c r="G98">
        <v>810711038</v>
      </c>
      <c r="H98" s="1">
        <v>40905</v>
      </c>
      <c r="I98" s="3">
        <v>6267</v>
      </c>
      <c r="J98" s="3">
        <v>9.33</v>
      </c>
      <c r="K98" s="3">
        <v>6.92</v>
      </c>
      <c r="L98" s="3">
        <v>58471.11</v>
      </c>
      <c r="M98" s="3">
        <v>43367.64</v>
      </c>
      <c r="N98" s="3">
        <v>15103.47</v>
      </c>
    </row>
    <row r="99" spans="1:14" x14ac:dyDescent="0.25">
      <c r="A99" t="s">
        <v>27</v>
      </c>
      <c r="B99" t="s">
        <v>83</v>
      </c>
      <c r="C99" t="s">
        <v>36</v>
      </c>
      <c r="D99" t="s">
        <v>16</v>
      </c>
      <c r="E99" t="s">
        <v>22</v>
      </c>
      <c r="F99" s="1">
        <v>42522</v>
      </c>
      <c r="G99">
        <v>728815257</v>
      </c>
      <c r="H99" s="1">
        <v>42550</v>
      </c>
      <c r="I99" s="3">
        <v>1485</v>
      </c>
      <c r="J99" s="3">
        <v>154.06</v>
      </c>
      <c r="K99" s="3">
        <v>90.93</v>
      </c>
      <c r="L99" s="3">
        <v>228779.1</v>
      </c>
      <c r="M99" s="3">
        <v>135031.04999999999</v>
      </c>
      <c r="N99" s="3">
        <v>93748.05</v>
      </c>
    </row>
    <row r="100" spans="1:14" x14ac:dyDescent="0.25">
      <c r="A100" t="s">
        <v>97</v>
      </c>
      <c r="B100" t="s">
        <v>98</v>
      </c>
      <c r="C100" t="s">
        <v>38</v>
      </c>
      <c r="D100" t="s">
        <v>16</v>
      </c>
      <c r="E100" t="s">
        <v>34</v>
      </c>
      <c r="F100" s="1">
        <v>42215</v>
      </c>
      <c r="G100">
        <v>559427106</v>
      </c>
      <c r="H100" s="1">
        <v>42224</v>
      </c>
      <c r="I100" s="3">
        <v>5767</v>
      </c>
      <c r="J100" s="3">
        <v>81.73</v>
      </c>
      <c r="K100" s="3">
        <v>56.67</v>
      </c>
      <c r="L100" s="3">
        <v>471336.91</v>
      </c>
      <c r="M100" s="3">
        <v>326815.89</v>
      </c>
      <c r="N100" s="3">
        <v>144521.01999999999</v>
      </c>
    </row>
    <row r="101" spans="1:14" x14ac:dyDescent="0.25">
      <c r="A101" t="s">
        <v>27</v>
      </c>
      <c r="B101" t="s">
        <v>113</v>
      </c>
      <c r="C101" t="s">
        <v>33</v>
      </c>
      <c r="D101" t="s">
        <v>16</v>
      </c>
      <c r="E101" t="s">
        <v>26</v>
      </c>
      <c r="F101" s="1">
        <v>40949</v>
      </c>
      <c r="G101">
        <v>665095412</v>
      </c>
      <c r="H101" s="1">
        <v>40954</v>
      </c>
      <c r="I101" s="3">
        <v>5367</v>
      </c>
      <c r="J101" s="3">
        <v>668.27</v>
      </c>
      <c r="K101" s="3">
        <v>502.54</v>
      </c>
      <c r="L101" s="3">
        <v>3586605.09</v>
      </c>
      <c r="M101" s="3">
        <v>2697132.18</v>
      </c>
      <c r="N101" s="3">
        <v>889472.91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97"/>
  <sheetViews>
    <sheetView topLeftCell="A7" zoomScaleNormal="100" workbookViewId="0">
      <selection activeCell="E48" sqref="E48"/>
    </sheetView>
  </sheetViews>
  <sheetFormatPr defaultRowHeight="15" x14ac:dyDescent="0.25"/>
  <cols>
    <col min="1" max="1" width="32.42578125" customWidth="1"/>
    <col min="2" max="2" width="20.5703125" customWidth="1"/>
    <col min="4" max="4" width="14.5703125" customWidth="1"/>
    <col min="5" max="6" width="20.5703125" customWidth="1"/>
    <col min="7" max="7" width="14.5703125" customWidth="1"/>
    <col min="8" max="8" width="16.7109375" customWidth="1"/>
    <col min="10" max="10" width="13.140625" customWidth="1"/>
    <col min="11" max="11" width="20.5703125" customWidth="1"/>
  </cols>
  <sheetData>
    <row r="3" spans="1:11" x14ac:dyDescent="0.25">
      <c r="A3" s="7" t="s">
        <v>117</v>
      </c>
      <c r="B3" t="s">
        <v>119</v>
      </c>
      <c r="D3" s="7" t="s">
        <v>117</v>
      </c>
      <c r="E3" t="s">
        <v>119</v>
      </c>
      <c r="G3" s="7" t="s">
        <v>117</v>
      </c>
      <c r="H3" t="s">
        <v>121</v>
      </c>
      <c r="J3" s="7" t="s">
        <v>117</v>
      </c>
      <c r="K3" t="s">
        <v>119</v>
      </c>
    </row>
    <row r="4" spans="1:11" x14ac:dyDescent="0.25">
      <c r="A4" s="8" t="s">
        <v>40</v>
      </c>
      <c r="B4" s="11">
        <v>21347091.020000003</v>
      </c>
      <c r="D4" s="8" t="s">
        <v>15</v>
      </c>
      <c r="E4" s="11">
        <v>10350327.6</v>
      </c>
      <c r="G4" s="8" t="s">
        <v>15</v>
      </c>
      <c r="H4" s="12">
        <v>40545</v>
      </c>
      <c r="J4" s="8" t="s">
        <v>16</v>
      </c>
      <c r="K4" s="11">
        <v>79094809.199999973</v>
      </c>
    </row>
    <row r="5" spans="1:11" x14ac:dyDescent="0.25">
      <c r="A5" s="8" t="s">
        <v>13</v>
      </c>
      <c r="B5" s="11">
        <v>14094265.130000003</v>
      </c>
      <c r="D5" s="8" t="s">
        <v>51</v>
      </c>
      <c r="E5" s="11">
        <v>2690794.6</v>
      </c>
      <c r="G5" s="8" t="s">
        <v>51</v>
      </c>
      <c r="H5" s="12">
        <v>56708</v>
      </c>
      <c r="J5" s="8" t="s">
        <v>21</v>
      </c>
      <c r="K5" s="11">
        <v>58253959.110000007</v>
      </c>
    </row>
    <row r="6" spans="1:11" x14ac:dyDescent="0.25">
      <c r="A6" s="8" t="s">
        <v>18</v>
      </c>
      <c r="B6" s="11">
        <v>9170385.4900000002</v>
      </c>
      <c r="D6" s="8" t="s">
        <v>20</v>
      </c>
      <c r="E6" s="11">
        <v>5322898.9000000004</v>
      </c>
      <c r="G6" s="8" t="s">
        <v>20</v>
      </c>
      <c r="H6" s="12">
        <v>25877</v>
      </c>
      <c r="J6" s="8" t="s">
        <v>118</v>
      </c>
      <c r="K6" s="11">
        <v>137348768.30999997</v>
      </c>
    </row>
    <row r="7" spans="1:11" x14ac:dyDescent="0.25">
      <c r="A7" s="8" t="s">
        <v>23</v>
      </c>
      <c r="B7" s="11">
        <v>33368932.109999999</v>
      </c>
      <c r="D7" s="8" t="s">
        <v>43</v>
      </c>
      <c r="E7" s="11">
        <v>7787292.799999998</v>
      </c>
      <c r="G7" s="8" t="s">
        <v>43</v>
      </c>
      <c r="H7" s="12">
        <v>71260</v>
      </c>
    </row>
    <row r="8" spans="1:11" x14ac:dyDescent="0.25">
      <c r="A8" s="8" t="s">
        <v>70</v>
      </c>
      <c r="B8" s="11">
        <v>14052706.58</v>
      </c>
      <c r="D8" s="8" t="s">
        <v>49</v>
      </c>
      <c r="E8" s="11">
        <v>36601509.600000001</v>
      </c>
      <c r="G8" s="8" t="s">
        <v>49</v>
      </c>
      <c r="H8" s="12">
        <v>83718</v>
      </c>
    </row>
    <row r="9" spans="1:11" x14ac:dyDescent="0.25">
      <c r="A9" s="8" t="s">
        <v>97</v>
      </c>
      <c r="B9" s="11">
        <v>5643356.5500000007</v>
      </c>
      <c r="D9" s="8" t="s">
        <v>29</v>
      </c>
      <c r="E9" s="11">
        <v>466481.34</v>
      </c>
      <c r="G9" s="8" t="s">
        <v>29</v>
      </c>
      <c r="H9" s="12">
        <v>49998</v>
      </c>
    </row>
    <row r="10" spans="1:11" x14ac:dyDescent="0.25">
      <c r="A10" s="8" t="s">
        <v>27</v>
      </c>
      <c r="B10" s="11">
        <v>39672031.430000007</v>
      </c>
      <c r="D10" s="8" t="s">
        <v>33</v>
      </c>
      <c r="E10" s="11">
        <v>29889712.289999995</v>
      </c>
      <c r="G10" s="8" t="s">
        <v>33</v>
      </c>
      <c r="H10" s="12">
        <v>44727</v>
      </c>
    </row>
    <row r="11" spans="1:11" x14ac:dyDescent="0.25">
      <c r="A11" s="8" t="s">
        <v>118</v>
      </c>
      <c r="B11" s="11">
        <v>137348768.31</v>
      </c>
      <c r="D11" s="8" t="s">
        <v>54</v>
      </c>
      <c r="E11" s="11">
        <v>4503675.75</v>
      </c>
      <c r="G11" s="8" t="s">
        <v>54</v>
      </c>
      <c r="H11" s="12">
        <v>10675</v>
      </c>
    </row>
    <row r="12" spans="1:11" x14ac:dyDescent="0.25">
      <c r="D12" s="8" t="s">
        <v>25</v>
      </c>
      <c r="E12" s="11">
        <v>30585380.07</v>
      </c>
      <c r="G12" s="8" t="s">
        <v>25</v>
      </c>
      <c r="H12" s="12">
        <v>46967</v>
      </c>
    </row>
    <row r="13" spans="1:11" x14ac:dyDescent="0.25">
      <c r="D13" s="8" t="s">
        <v>38</v>
      </c>
      <c r="E13" s="11">
        <v>3980904.8400000003</v>
      </c>
      <c r="G13" s="8" t="s">
        <v>38</v>
      </c>
      <c r="H13" s="12">
        <v>48708</v>
      </c>
    </row>
    <row r="14" spans="1:11" x14ac:dyDescent="0.25">
      <c r="A14" s="8"/>
      <c r="B14" s="9"/>
      <c r="D14" s="8" t="s">
        <v>57</v>
      </c>
      <c r="E14" s="11">
        <v>2080733.46</v>
      </c>
      <c r="G14" s="8" t="s">
        <v>57</v>
      </c>
      <c r="H14" s="12">
        <v>13637</v>
      </c>
    </row>
    <row r="15" spans="1:11" x14ac:dyDescent="0.25">
      <c r="A15" s="8"/>
      <c r="B15" s="9"/>
      <c r="D15" s="8" t="s">
        <v>36</v>
      </c>
      <c r="E15" s="11">
        <v>3089057.06</v>
      </c>
      <c r="G15" s="8" t="s">
        <v>36</v>
      </c>
      <c r="H15" s="12">
        <v>20051</v>
      </c>
    </row>
    <row r="16" spans="1:11" x14ac:dyDescent="0.25">
      <c r="A16" s="8"/>
      <c r="B16" s="9"/>
      <c r="D16" s="8" t="s">
        <v>118</v>
      </c>
      <c r="E16" s="11">
        <v>137348768.31</v>
      </c>
      <c r="G16" s="8" t="s">
        <v>118</v>
      </c>
      <c r="H16" s="12">
        <v>512871</v>
      </c>
    </row>
    <row r="17" spans="1:4" x14ac:dyDescent="0.25">
      <c r="A17" s="8"/>
      <c r="B17" s="9"/>
      <c r="D17" s="8"/>
    </row>
    <row r="18" spans="1:4" x14ac:dyDescent="0.25">
      <c r="A18" s="8"/>
      <c r="B18" s="9"/>
      <c r="D18" s="8"/>
    </row>
    <row r="19" spans="1:4" x14ac:dyDescent="0.25">
      <c r="A19" s="8"/>
      <c r="B19" s="9"/>
      <c r="D19" s="8"/>
    </row>
    <row r="20" spans="1:4" x14ac:dyDescent="0.25">
      <c r="D20" s="8"/>
    </row>
    <row r="21" spans="1:4" x14ac:dyDescent="0.25">
      <c r="A21" s="8"/>
      <c r="B21" s="10"/>
      <c r="D21" s="8"/>
    </row>
    <row r="22" spans="1:4" x14ac:dyDescent="0.25">
      <c r="A22" s="8"/>
      <c r="B22" s="10"/>
    </row>
    <row r="23" spans="1:4" x14ac:dyDescent="0.25">
      <c r="A23" s="8"/>
      <c r="B23" s="10"/>
    </row>
    <row r="24" spans="1:4" x14ac:dyDescent="0.25">
      <c r="A24" s="8"/>
      <c r="B24" s="10"/>
    </row>
    <row r="25" spans="1:4" x14ac:dyDescent="0.25">
      <c r="A25" s="8"/>
      <c r="B25" s="10"/>
    </row>
    <row r="26" spans="1:4" x14ac:dyDescent="0.25">
      <c r="A26" s="8"/>
      <c r="B26" s="10"/>
    </row>
    <row r="27" spans="1:4" x14ac:dyDescent="0.25">
      <c r="A27" s="8"/>
      <c r="B27" s="10"/>
    </row>
    <row r="28" spans="1:4" x14ac:dyDescent="0.25">
      <c r="A28" s="8"/>
      <c r="B28" s="10"/>
    </row>
    <row r="29" spans="1:4" x14ac:dyDescent="0.25">
      <c r="A29" s="8"/>
      <c r="B29" s="10"/>
    </row>
    <row r="30" spans="1:4" x14ac:dyDescent="0.25">
      <c r="A30" s="8"/>
      <c r="B30" s="10"/>
    </row>
    <row r="31" spans="1:4" x14ac:dyDescent="0.25">
      <c r="A31" s="8"/>
      <c r="B31" s="10"/>
    </row>
    <row r="32" spans="1:4" x14ac:dyDescent="0.25">
      <c r="A32" s="8"/>
      <c r="B32" s="10"/>
    </row>
    <row r="33" spans="1:2" x14ac:dyDescent="0.25">
      <c r="A33" s="8"/>
      <c r="B33" s="10"/>
    </row>
    <row r="34" spans="1:2" x14ac:dyDescent="0.25">
      <c r="A34" s="8"/>
      <c r="B34" s="10"/>
    </row>
    <row r="35" spans="1:2" x14ac:dyDescent="0.25">
      <c r="A35" s="8"/>
      <c r="B35" s="10"/>
    </row>
    <row r="36" spans="1:2" x14ac:dyDescent="0.25">
      <c r="A36" s="8"/>
      <c r="B36" s="10"/>
    </row>
    <row r="37" spans="1:2" x14ac:dyDescent="0.25">
      <c r="A37" s="8"/>
      <c r="B37" s="10"/>
    </row>
    <row r="38" spans="1:2" x14ac:dyDescent="0.25">
      <c r="A38" s="8"/>
      <c r="B38" s="10"/>
    </row>
    <row r="39" spans="1:2" x14ac:dyDescent="0.25">
      <c r="A39" s="8"/>
      <c r="B39" s="10"/>
    </row>
    <row r="40" spans="1:2" x14ac:dyDescent="0.25">
      <c r="A40" s="8"/>
      <c r="B40" s="10"/>
    </row>
    <row r="41" spans="1:2" x14ac:dyDescent="0.25">
      <c r="A41" s="8"/>
      <c r="B41" s="10"/>
    </row>
    <row r="42" spans="1:2" x14ac:dyDescent="0.25">
      <c r="A42" s="8"/>
      <c r="B42" s="10"/>
    </row>
    <row r="43" spans="1:2" x14ac:dyDescent="0.25">
      <c r="A43" s="8"/>
      <c r="B43" s="10"/>
    </row>
    <row r="44" spans="1:2" x14ac:dyDescent="0.25">
      <c r="A44" s="8"/>
      <c r="B44" s="10"/>
    </row>
    <row r="45" spans="1:2" x14ac:dyDescent="0.25">
      <c r="A45" s="8"/>
      <c r="B45" s="10"/>
    </row>
    <row r="46" spans="1:2" x14ac:dyDescent="0.25">
      <c r="A46" s="8"/>
      <c r="B46" s="10"/>
    </row>
    <row r="47" spans="1:2" x14ac:dyDescent="0.25">
      <c r="A47" s="8"/>
      <c r="B47" s="10"/>
    </row>
    <row r="48" spans="1:2" x14ac:dyDescent="0.25">
      <c r="A48" s="8"/>
      <c r="B48" s="10"/>
    </row>
    <row r="49" spans="1:2" x14ac:dyDescent="0.25">
      <c r="A49" s="8"/>
      <c r="B49" s="10"/>
    </row>
    <row r="50" spans="1:2" x14ac:dyDescent="0.25">
      <c r="A50" s="8"/>
      <c r="B50" s="10"/>
    </row>
    <row r="51" spans="1:2" x14ac:dyDescent="0.25">
      <c r="A51" s="8"/>
      <c r="B51" s="10"/>
    </row>
    <row r="52" spans="1:2" x14ac:dyDescent="0.25">
      <c r="A52" s="8"/>
      <c r="B52" s="10"/>
    </row>
    <row r="53" spans="1:2" x14ac:dyDescent="0.25">
      <c r="A53" s="8"/>
      <c r="B53" s="10"/>
    </row>
    <row r="54" spans="1:2" x14ac:dyDescent="0.25">
      <c r="A54" s="8"/>
      <c r="B54" s="10"/>
    </row>
    <row r="55" spans="1:2" x14ac:dyDescent="0.25">
      <c r="A55" s="8"/>
      <c r="B55" s="10"/>
    </row>
    <row r="56" spans="1:2" x14ac:dyDescent="0.25">
      <c r="A56" s="8"/>
      <c r="B56" s="10"/>
    </row>
    <row r="57" spans="1:2" x14ac:dyDescent="0.25">
      <c r="A57" s="8"/>
      <c r="B57" s="10"/>
    </row>
    <row r="58" spans="1:2" x14ac:dyDescent="0.25">
      <c r="A58" s="8"/>
      <c r="B58" s="10"/>
    </row>
    <row r="59" spans="1:2" x14ac:dyDescent="0.25">
      <c r="A59" s="8"/>
      <c r="B59" s="10"/>
    </row>
    <row r="60" spans="1:2" x14ac:dyDescent="0.25">
      <c r="A60" s="8"/>
      <c r="B60" s="10"/>
    </row>
    <row r="61" spans="1:2" x14ac:dyDescent="0.25">
      <c r="A61" s="8"/>
      <c r="B61" s="10"/>
    </row>
    <row r="62" spans="1:2" x14ac:dyDescent="0.25">
      <c r="A62" s="8"/>
      <c r="B62" s="10"/>
    </row>
    <row r="63" spans="1:2" x14ac:dyDescent="0.25">
      <c r="A63" s="8"/>
      <c r="B63" s="10"/>
    </row>
    <row r="64" spans="1:2" x14ac:dyDescent="0.25">
      <c r="A64" s="8"/>
      <c r="B64" s="10"/>
    </row>
    <row r="65" spans="1:2" x14ac:dyDescent="0.25">
      <c r="A65" s="8"/>
      <c r="B65" s="10"/>
    </row>
    <row r="66" spans="1:2" x14ac:dyDescent="0.25">
      <c r="A66" s="8"/>
      <c r="B66" s="10"/>
    </row>
    <row r="67" spans="1:2" x14ac:dyDescent="0.25">
      <c r="A67" s="8"/>
      <c r="B67" s="10"/>
    </row>
    <row r="68" spans="1:2" x14ac:dyDescent="0.25">
      <c r="A68" s="8"/>
      <c r="B68" s="10"/>
    </row>
    <row r="69" spans="1:2" x14ac:dyDescent="0.25">
      <c r="A69" s="8"/>
      <c r="B69" s="10"/>
    </row>
    <row r="70" spans="1:2" x14ac:dyDescent="0.25">
      <c r="A70" s="8"/>
      <c r="B70" s="10"/>
    </row>
    <row r="71" spans="1:2" x14ac:dyDescent="0.25">
      <c r="A71" s="8"/>
      <c r="B71" s="10"/>
    </row>
    <row r="72" spans="1:2" x14ac:dyDescent="0.25">
      <c r="A72" s="8"/>
      <c r="B72" s="10"/>
    </row>
    <row r="73" spans="1:2" x14ac:dyDescent="0.25">
      <c r="A73" s="8"/>
      <c r="B73" s="10"/>
    </row>
    <row r="74" spans="1:2" x14ac:dyDescent="0.25">
      <c r="A74" s="8"/>
      <c r="B74" s="10"/>
    </row>
    <row r="75" spans="1:2" x14ac:dyDescent="0.25">
      <c r="A75" s="8"/>
      <c r="B75" s="10"/>
    </row>
    <row r="76" spans="1:2" x14ac:dyDescent="0.25">
      <c r="A76" s="8"/>
      <c r="B76" s="10"/>
    </row>
    <row r="77" spans="1:2" x14ac:dyDescent="0.25">
      <c r="A77" s="8"/>
      <c r="B77" s="10"/>
    </row>
    <row r="78" spans="1:2" x14ac:dyDescent="0.25">
      <c r="A78" s="8"/>
      <c r="B78" s="10"/>
    </row>
    <row r="79" spans="1:2" x14ac:dyDescent="0.25">
      <c r="A79" s="8"/>
      <c r="B79" s="10"/>
    </row>
    <row r="80" spans="1:2" x14ac:dyDescent="0.25">
      <c r="A80" s="8"/>
      <c r="B80" s="10"/>
    </row>
    <row r="81" spans="1:2" x14ac:dyDescent="0.25">
      <c r="A81" s="8"/>
      <c r="B81" s="10"/>
    </row>
    <row r="82" spans="1:2" x14ac:dyDescent="0.25">
      <c r="A82" s="8"/>
      <c r="B82" s="10"/>
    </row>
    <row r="83" spans="1:2" x14ac:dyDescent="0.25">
      <c r="A83" s="8"/>
      <c r="B83" s="10"/>
    </row>
    <row r="84" spans="1:2" x14ac:dyDescent="0.25">
      <c r="A84" s="8"/>
      <c r="B84" s="10"/>
    </row>
    <row r="85" spans="1:2" x14ac:dyDescent="0.25">
      <c r="A85" s="8"/>
      <c r="B85" s="10"/>
    </row>
    <row r="86" spans="1:2" x14ac:dyDescent="0.25">
      <c r="A86" s="8"/>
      <c r="B86" s="10"/>
    </row>
    <row r="87" spans="1:2" x14ac:dyDescent="0.25">
      <c r="A87" s="8"/>
      <c r="B87" s="10"/>
    </row>
    <row r="88" spans="1:2" x14ac:dyDescent="0.25">
      <c r="A88" s="8"/>
      <c r="B88" s="10"/>
    </row>
    <row r="89" spans="1:2" x14ac:dyDescent="0.25">
      <c r="A89" s="8"/>
      <c r="B89" s="10"/>
    </row>
    <row r="90" spans="1:2" x14ac:dyDescent="0.25">
      <c r="A90" s="8"/>
      <c r="B90" s="10"/>
    </row>
    <row r="91" spans="1:2" x14ac:dyDescent="0.25">
      <c r="A91" s="8"/>
      <c r="B91" s="10"/>
    </row>
    <row r="92" spans="1:2" x14ac:dyDescent="0.25">
      <c r="A92" s="8"/>
      <c r="B92" s="10"/>
    </row>
    <row r="93" spans="1:2" x14ac:dyDescent="0.25">
      <c r="A93" s="8"/>
      <c r="B93" s="10"/>
    </row>
    <row r="94" spans="1:2" x14ac:dyDescent="0.25">
      <c r="A94" s="8"/>
      <c r="B94" s="10"/>
    </row>
    <row r="95" spans="1:2" x14ac:dyDescent="0.25">
      <c r="A95" s="8"/>
      <c r="B95" s="10"/>
    </row>
    <row r="96" spans="1:2" x14ac:dyDescent="0.25">
      <c r="A96" s="8"/>
      <c r="B96" s="10"/>
    </row>
    <row r="97" spans="1:2" x14ac:dyDescent="0.25">
      <c r="A97" s="8"/>
      <c r="B97" s="1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vt:lpstr>
      <vt:lpstr>Pivot Tables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KC</dc:creator>
  <cp:lastModifiedBy>ADMIN</cp:lastModifiedBy>
  <dcterms:created xsi:type="dcterms:W3CDTF">2025-12-04T06:30:57Z</dcterms:created>
  <dcterms:modified xsi:type="dcterms:W3CDTF">2025-12-04T11:33:54Z</dcterms:modified>
</cp:coreProperties>
</file>